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reators" sheetId="1" state="visible" r:id="rId1"/>
    <sheet xmlns:r="http://schemas.openxmlformats.org/officeDocument/2006/relationships" name="RecentVideos" sheetId="2" state="visible" r:id="rId2"/>
    <sheet xmlns:r="http://schemas.openxmlformats.org/officeDocument/2006/relationships" name="Field guide" sheetId="3" state="visible" r:id="rId3"/>
    <sheet xmlns:r="http://schemas.openxmlformats.org/officeDocument/2006/relationships" name="Schema" sheetId="4" state="visible" r:id="rId4"/>
    <sheet xmlns:r="http://schemas.openxmlformats.org/officeDocument/2006/relationships" name="Cleaning rules" sheetId="5" state="visible" r:id="rId5"/>
    <sheet xmlns:r="http://schemas.openxmlformats.org/officeDocument/2006/relationships" name="Feature benchmarks" sheetId="6" state="visible" r:id="rId6"/>
    <sheet xmlns:r="http://schemas.openxmlformats.org/officeDocument/2006/relationships" name="Fit score" sheetId="7" state="visible" r:id="rId7"/>
    <sheet xmlns:r="http://schemas.openxmlformats.org/officeDocument/2006/relationships" name="For import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\$#,##0"/>
    <numFmt numFmtId="166" formatCode="\$#,##0.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color rgb="FF444444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6B6B6B"/>
      <sz val="10"/>
    </font>
    <font>
      <name val="Arial"/>
      <charset val="1"/>
      <family val="0"/>
      <b val="1"/>
      <color rgb="FF4C2FA8"/>
      <sz val="11"/>
    </font>
    <font>
      <name val="Arial"/>
      <charset val="1"/>
      <family val="0"/>
      <b val="1"/>
      <sz val="10"/>
    </font>
    <font>
      <name val="Arial"/>
      <charset val="1"/>
      <family val="0"/>
      <b val="1"/>
      <color rgb="FF4C2FA8"/>
      <sz val="10"/>
    </font>
    <font>
      <name val="Courier New"/>
      <charset val="1"/>
      <family val="0"/>
      <sz val="9"/>
    </font>
  </fonts>
  <fills count="5">
    <fill>
      <patternFill/>
    </fill>
    <fill>
      <patternFill patternType="gray125"/>
    </fill>
    <fill>
      <patternFill patternType="solid">
        <fgColor rgb="FF4C2FA8"/>
        <bgColor rgb="FF444444"/>
      </patternFill>
    </fill>
    <fill>
      <patternFill patternType="solid">
        <fgColor rgb="FFFFFDE7"/>
        <bgColor rgb="FFFFFFFF"/>
      </patternFill>
    </fill>
    <fill>
      <patternFill patternType="solid">
        <fgColor rgb="FFEFEAFB"/>
        <bgColor rgb="FFFDEBD0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9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9" fontId="7" fillId="3" borderId="1" applyAlignment="1" pivotButton="0" quotePrefix="0" xfId="0">
      <alignment horizontal="general" vertical="top" wrapText="1"/>
    </xf>
    <xf numFmtId="9" fontId="10" fillId="4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9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9" fontId="7" fillId="3" borderId="1" applyAlignment="1" pivotButton="0" quotePrefix="0" xfId="0">
      <alignment horizontal="general" vertical="top" wrapText="1"/>
    </xf>
    <xf numFmtId="9" fontId="10" fillId="4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top"/>
    </xf>
    <xf numFmtId="0" fontId="12" fillId="0" borderId="0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FADBD8"/>
        </patternFill>
      </fill>
    </dxf>
    <dxf>
      <fill>
        <patternFill>
          <bgColor rgb="FFFDEBD0"/>
        </patternFill>
      </fill>
    </dxf>
    <dxf>
      <fill>
        <patternFill>
          <bgColor rgb="FFD5F5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FEAFB"/>
      <rgbColor rgb="FF660066"/>
      <rgbColor rgb="FFFF8080"/>
      <rgbColor rgb="FF0066CC"/>
      <rgbColor rgb="FFD5D5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DEBD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4C2FA8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B6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7" customWidth="1" style="37" min="1" max="2"/>
    <col width="20" customWidth="1" style="37" min="3" max="3"/>
    <col width="19" customWidth="1" style="37" min="4" max="4"/>
    <col width="10" customWidth="1" style="37" min="5" max="5"/>
    <col width="12" customWidth="1" style="37" min="6" max="6"/>
    <col width="11" customWidth="1" style="37" min="7" max="7"/>
    <col width="15" customWidth="1" style="37" min="8" max="10"/>
    <col width="12" customWidth="1" style="37" min="11" max="11"/>
    <col width="13" customWidth="1" style="37" min="12" max="12"/>
    <col width="15" customWidth="1" style="37" min="13" max="13"/>
    <col width="12" customWidth="1" style="37" min="14" max="14"/>
    <col width="13" customWidth="1" style="37" min="15" max="15"/>
    <col width="15" customWidth="1" style="37" min="16" max="18"/>
    <col width="11" customWidth="1" style="37" min="19" max="19"/>
    <col width="16" customWidth="1" style="37" min="20" max="20"/>
    <col width="62" customWidth="1" style="37" min="21" max="21"/>
    <col width="15" customWidth="1" style="37" min="22" max="22"/>
    <col width="14" customWidth="1" style="37" min="23" max="23"/>
    <col width="58" customWidth="1" style="37" min="24" max="24"/>
    <col width="18" customWidth="1" style="37" min="25" max="25"/>
    <col width="26" customWidth="1" style="37" min="26" max="26"/>
    <col width="16" customWidth="1" style="37" min="27" max="27"/>
    <col width="30" customWidth="1" style="37" min="28" max="28"/>
  </cols>
  <sheetData>
    <row r="1" ht="17.25" customHeight="1" s="38">
      <c r="A1" s="39" t="inlineStr">
        <is>
          <t>SponsorSync - Creator Roster (mock data for prototype)</t>
        </is>
      </c>
    </row>
    <row r="2" ht="15" customHeight="1" s="38">
      <c r="A2" s="40" t="inlineStr">
        <is>
          <t>18 fictional creators. Fill or edit the yellow columns; the shaded columns are formulas and recalculate on their own. No real person appears in this file.</t>
        </is>
      </c>
    </row>
    <row r="4" ht="30" customHeight="1" s="38">
      <c r="A4" s="41" t="inlineStr">
        <is>
          <t>creator_id</t>
        </is>
      </c>
      <c r="B4" s="41" t="inlineStr">
        <is>
          <t>name</t>
        </is>
      </c>
      <c r="C4" s="41" t="inlineStr">
        <is>
          <t>handle</t>
        </is>
      </c>
      <c r="D4" s="41" t="inlineStr">
        <is>
          <t>category</t>
        </is>
      </c>
      <c r="E4" s="41" t="inlineStr">
        <is>
          <t>tier</t>
        </is>
      </c>
      <c r="F4" s="41" t="inlineStr">
        <is>
          <t>subscribers</t>
        </is>
      </c>
      <c r="G4" s="41" t="inlineStr">
        <is>
          <t>avg_views</t>
        </is>
      </c>
      <c r="H4" s="41" t="inlineStr">
        <is>
          <t>engagement_rate</t>
        </is>
      </c>
      <c r="I4" s="41" t="inlineStr">
        <is>
          <t>view_to_sub_ratio</t>
        </is>
      </c>
      <c r="J4" s="41" t="inlineStr">
        <is>
          <t>channel_verified</t>
        </is>
      </c>
      <c r="K4" s="41" t="inlineStr">
        <is>
          <t>safety_score</t>
        </is>
      </c>
      <c r="L4" s="41" t="inlineStr">
        <is>
          <t>audience_age</t>
        </is>
      </c>
      <c r="M4" s="41" t="inlineStr">
        <is>
          <t>audience_gender</t>
        </is>
      </c>
      <c r="N4" s="41" t="inlineStr">
        <is>
          <t>top_country</t>
        </is>
      </c>
      <c r="O4" s="41" t="inlineStr">
        <is>
          <t>upload_cadence</t>
        </is>
      </c>
      <c r="P4" s="41" t="inlineStr">
        <is>
          <t>avg_length_min</t>
        </is>
      </c>
      <c r="Q4" s="41" t="inlineStr">
        <is>
          <t>rate_integrated</t>
        </is>
      </c>
      <c r="R4" s="41" t="inlineStr">
        <is>
          <t>rate_dedicated</t>
        </is>
      </c>
      <c r="S4" s="41" t="inlineStr">
        <is>
          <t>rate_short</t>
        </is>
      </c>
      <c r="T4" s="41" t="inlineStr">
        <is>
          <t>cost_per_1k_views</t>
        </is>
      </c>
      <c r="U4" s="41" t="inlineStr">
        <is>
          <t>demo_note</t>
        </is>
      </c>
      <c r="V4" s="41" t="inlineStr">
        <is>
          <t>avatar_initials</t>
        </is>
      </c>
      <c r="W4" s="41" t="inlineStr">
        <is>
          <t>avatar_color</t>
        </is>
      </c>
      <c r="X4" s="41" t="inlineStr">
        <is>
          <t>bio</t>
        </is>
      </c>
      <c r="Y4" s="41" t="inlineStr">
        <is>
          <t>languages</t>
        </is>
      </c>
      <c r="Z4" s="41" t="inlineStr">
        <is>
          <t>formats_offered</t>
        </is>
      </c>
      <c r="AA4" s="41" t="inlineStr">
        <is>
          <t>turnaround_days</t>
        </is>
      </c>
      <c r="AB4" s="41" t="inlineStr">
        <is>
          <t>worked_with_categories</t>
        </is>
      </c>
    </row>
    <row r="5" ht="23.25" customHeight="1" s="38">
      <c r="A5" s="50" t="inlineStr">
        <is>
          <t>maya-chen</t>
        </is>
      </c>
      <c r="B5" s="50" t="inlineStr">
        <is>
          <t>Maya Chen</t>
        </is>
      </c>
      <c r="C5" s="50" t="inlineStr">
        <is>
          <t>@mayaeats</t>
        </is>
      </c>
      <c r="D5" s="50" t="inlineStr">
        <is>
          <t>Food &amp; Beverage</t>
        </is>
      </c>
      <c r="E5" s="50" t="inlineStr">
        <is>
          <t>Micro</t>
        </is>
      </c>
      <c r="F5" s="51" t="n">
        <v>84000</v>
      </c>
      <c r="G5" s="51" t="n">
        <v>41000</v>
      </c>
      <c r="H5" s="52" t="n">
        <v>0.07199999999999999</v>
      </c>
      <c r="I5" s="53">
        <f>G5/F5</f>
        <v/>
      </c>
      <c r="J5" s="50" t="inlineStr">
        <is>
          <t>TRUE</t>
        </is>
      </c>
      <c r="K5" s="50" t="n">
        <v>96</v>
      </c>
      <c r="L5" s="50" t="inlineStr">
        <is>
          <t>25-34</t>
        </is>
      </c>
      <c r="M5" s="50" t="inlineStr">
        <is>
          <t>61% F</t>
        </is>
      </c>
      <c r="N5" s="50" t="inlineStr">
        <is>
          <t>US</t>
        </is>
      </c>
      <c r="O5" s="50" t="inlineStr">
        <is>
          <t>2 / week</t>
        </is>
      </c>
      <c r="P5" s="50" t="n">
        <v>12</v>
      </c>
      <c r="Q5" s="54" t="n">
        <v>1200</v>
      </c>
      <c r="R5" s="54" t="n">
        <v>2500</v>
      </c>
      <c r="S5" s="54" t="n">
        <v>600</v>
      </c>
      <c r="T5" s="55">
        <f>ROUND(R5/G5*1000,1)</f>
        <v/>
      </c>
      <c r="U5" s="56" t="inlineStr">
        <is>
          <t>Replaces the Lady Gaga placeholder. Keep the same rates so nothing else breaks.</t>
        </is>
      </c>
      <c r="V5" s="57" t="inlineStr">
        <is>
          <t>MC</t>
        </is>
      </c>
      <c r="W5" s="57" t="inlineStr">
        <is>
          <t>#C0392B</t>
        </is>
      </c>
      <c r="X5" s="57" t="inlineStr">
        <is>
          <t>Grocery-aisle taste tests and honest pantry cooking for people who cook on weeknights.</t>
        </is>
      </c>
      <c r="Y5" s="57" t="inlineStr">
        <is>
          <t>English</t>
        </is>
      </c>
      <c r="Z5" s="57" t="inlineStr">
        <is>
          <t>Integrated; Dedicated; Short</t>
        </is>
      </c>
      <c r="AA5" s="57" t="n">
        <v>10</v>
      </c>
      <c r="AB5" s="57" t="inlineStr">
        <is>
          <t>Food &amp; Beverage; Kitchenware</t>
        </is>
      </c>
    </row>
    <row r="6" ht="15" customHeight="1" s="38">
      <c r="A6" s="50" t="inlineStr">
        <is>
          <t>diego-alvarez</t>
        </is>
      </c>
      <c r="B6" s="50" t="inlineStr">
        <is>
          <t>Diego Alvarez</t>
        </is>
      </c>
      <c r="C6" s="50" t="inlineStr">
        <is>
          <t>@diegocooks</t>
        </is>
      </c>
      <c r="D6" s="50" t="inlineStr">
        <is>
          <t>Cooking</t>
        </is>
      </c>
      <c r="E6" s="50" t="inlineStr">
        <is>
          <t>Mid-tier</t>
        </is>
      </c>
      <c r="F6" s="51" t="n">
        <v>156000</v>
      </c>
      <c r="G6" s="51" t="n">
        <v>62000</v>
      </c>
      <c r="H6" s="52" t="n">
        <v>0.051</v>
      </c>
      <c r="I6" s="53">
        <f>G6/F6</f>
        <v/>
      </c>
      <c r="J6" s="50" t="inlineStr">
        <is>
          <t>TRUE</t>
        </is>
      </c>
      <c r="K6" s="50" t="n">
        <v>90</v>
      </c>
      <c r="L6" s="50" t="inlineStr">
        <is>
          <t>25-44</t>
        </is>
      </c>
      <c r="M6" s="50" t="inlineStr">
        <is>
          <t>54% M</t>
        </is>
      </c>
      <c r="N6" s="50" t="inlineStr">
        <is>
          <t>US</t>
        </is>
      </c>
      <c r="O6" s="50" t="inlineStr">
        <is>
          <t>1 / week</t>
        </is>
      </c>
      <c r="P6" s="50" t="n">
        <v>18</v>
      </c>
      <c r="Q6" s="54" t="n">
        <v>1800</v>
      </c>
      <c r="R6" s="54" t="n">
        <v>4200</v>
      </c>
      <c r="S6" s="54" t="n">
        <v>900</v>
      </c>
      <c r="T6" s="55">
        <f>ROUND(R6/G6*1000,1)</f>
        <v/>
      </c>
      <c r="U6" s="56" t="inlineStr">
        <is>
          <t>Existing profile — unchanged.</t>
        </is>
      </c>
      <c r="V6" s="57" t="inlineStr">
        <is>
          <t>DA</t>
        </is>
      </c>
      <c r="W6" s="57" t="inlineStr">
        <is>
          <t>#27AE60</t>
        </is>
      </c>
      <c r="X6" s="57" t="inlineStr">
        <is>
          <t>Restaurant technique translated for a home kitchen, filmed slowly and explained properly.</t>
        </is>
      </c>
      <c r="Y6" s="57" t="inlineStr">
        <is>
          <t>English; Spanish</t>
        </is>
      </c>
      <c r="Z6" s="57" t="inlineStr">
        <is>
          <t>Integrated; Dedicated</t>
        </is>
      </c>
      <c r="AA6" s="57" t="n">
        <v>14</v>
      </c>
      <c r="AB6" s="57" t="inlineStr">
        <is>
          <t>Kitchenware; Grocery; Appliances</t>
        </is>
      </c>
    </row>
    <row r="7" ht="15" customHeight="1" s="38">
      <c r="A7" s="50" t="inlineStr">
        <is>
          <t>priya-nair</t>
        </is>
      </c>
      <c r="B7" s="50" t="inlineStr">
        <is>
          <t>Priya Nair</t>
        </is>
      </c>
      <c r="C7" s="50" t="inlineStr">
        <is>
          <t>@priyawellness</t>
        </is>
      </c>
      <c r="D7" s="50" t="inlineStr">
        <is>
          <t>Health &amp; Lifestyle</t>
        </is>
      </c>
      <c r="E7" s="50" t="inlineStr">
        <is>
          <t>Micro</t>
        </is>
      </c>
      <c r="F7" s="51" t="n">
        <v>22000</v>
      </c>
      <c r="G7" s="51" t="n">
        <v>12000</v>
      </c>
      <c r="H7" s="52" t="n">
        <v>0.094</v>
      </c>
      <c r="I7" s="53">
        <f>G7/F7</f>
        <v/>
      </c>
      <c r="J7" s="50" t="inlineStr">
        <is>
          <t>FALSE</t>
        </is>
      </c>
      <c r="K7" s="50" t="n">
        <v>98</v>
      </c>
      <c r="L7" s="50" t="inlineStr">
        <is>
          <t>25-34</t>
        </is>
      </c>
      <c r="M7" s="50" t="inlineStr">
        <is>
          <t>78% F</t>
        </is>
      </c>
      <c r="N7" s="50" t="inlineStr">
        <is>
          <t>US</t>
        </is>
      </c>
      <c r="O7" s="50" t="inlineStr">
        <is>
          <t>2 / week</t>
        </is>
      </c>
      <c r="P7" s="50" t="n">
        <v>10</v>
      </c>
      <c r="Q7" s="54" t="n">
        <v>450</v>
      </c>
      <c r="R7" s="54" t="n">
        <v>900</v>
      </c>
      <c r="S7" s="54" t="n">
        <v>250</v>
      </c>
      <c r="T7" s="55">
        <f>ROUND(R7/G7*1000,1)</f>
        <v/>
      </c>
      <c r="U7" s="56" t="inlineStr">
        <is>
          <t>Existing profile — unchanged. Unverified channel, useful contrast.</t>
        </is>
      </c>
      <c r="V7" s="57" t="inlineStr">
        <is>
          <t>PN</t>
        </is>
      </c>
      <c r="W7" s="57" t="inlineStr">
        <is>
          <t>#6C3FC5</t>
        </is>
      </c>
      <c r="X7" s="57" t="inlineStr">
        <is>
          <t>Unglamorous wellness routines that a working person can actually keep up.</t>
        </is>
      </c>
      <c r="Y7" s="57" t="inlineStr">
        <is>
          <t>English; Hindi</t>
        </is>
      </c>
      <c r="Z7" s="57" t="inlineStr">
        <is>
          <t>Integrated; Short</t>
        </is>
      </c>
      <c r="AA7" s="57" t="n">
        <v>7</v>
      </c>
      <c r="AB7" s="57" t="inlineStr">
        <is>
          <t>Wellness; Activewear</t>
        </is>
      </c>
    </row>
    <row r="8" ht="15" customHeight="1" s="38">
      <c r="A8" s="50" t="inlineStr">
        <is>
          <t>jordan-blake</t>
        </is>
      </c>
      <c r="B8" s="50" t="inlineStr">
        <is>
          <t>Jordan Blake</t>
        </is>
      </c>
      <c r="C8" s="50" t="inlineStr">
        <is>
          <t>@jordanreviews</t>
        </is>
      </c>
      <c r="D8" s="50" t="inlineStr">
        <is>
          <t>Tech Reviews</t>
        </is>
      </c>
      <c r="E8" s="50" t="inlineStr">
        <is>
          <t>Mid-tier</t>
        </is>
      </c>
      <c r="F8" s="51" t="n">
        <v>310000</v>
      </c>
      <c r="G8" s="51" t="n">
        <v>140000</v>
      </c>
      <c r="H8" s="52" t="n">
        <v>0.043</v>
      </c>
      <c r="I8" s="53">
        <f>G8/F8</f>
        <v/>
      </c>
      <c r="J8" s="50" t="inlineStr">
        <is>
          <t>TRUE</t>
        </is>
      </c>
      <c r="K8" s="50" t="n">
        <v>85</v>
      </c>
      <c r="L8" s="50" t="inlineStr">
        <is>
          <t>18-34</t>
        </is>
      </c>
      <c r="M8" s="50" t="inlineStr">
        <is>
          <t>71% M</t>
        </is>
      </c>
      <c r="N8" s="50" t="inlineStr">
        <is>
          <t>US</t>
        </is>
      </c>
      <c r="O8" s="50" t="inlineStr">
        <is>
          <t>2 / week</t>
        </is>
      </c>
      <c r="P8" s="50" t="n">
        <v>15</v>
      </c>
      <c r="Q8" s="54" t="n">
        <v>3500</v>
      </c>
      <c r="R8" s="54" t="n">
        <v>8000</v>
      </c>
      <c r="S8" s="54" t="n">
        <v>1500</v>
      </c>
      <c r="T8" s="55">
        <f>ROUND(R8/G8*1000,1)</f>
        <v/>
      </c>
      <c r="U8" s="56" t="inlineStr">
        <is>
          <t>Existing profile — unchanged.</t>
        </is>
      </c>
      <c r="V8" s="57" t="inlineStr">
        <is>
          <t>JB</t>
        </is>
      </c>
      <c r="W8" s="57" t="inlineStr">
        <is>
          <t>#2C3E50</t>
        </is>
      </c>
      <c r="X8" s="57" t="inlineStr">
        <is>
          <t>Consumer tech tested on a budget, with the spec-sheet marketing stripped out.</t>
        </is>
      </c>
      <c r="Y8" s="57" t="inlineStr">
        <is>
          <t>English</t>
        </is>
      </c>
      <c r="Z8" s="57" t="inlineStr">
        <is>
          <t>Integrated; Dedicated; Short</t>
        </is>
      </c>
      <c r="AA8" s="57" t="n">
        <v>14</v>
      </c>
      <c r="AB8" s="57" t="inlineStr">
        <is>
          <t>Consumer Electronics; Accessories</t>
        </is>
      </c>
    </row>
    <row r="9" ht="23.25" customHeight="1" s="38">
      <c r="A9" s="50" t="inlineStr">
        <is>
          <t>sofia-reyes</t>
        </is>
      </c>
      <c r="B9" s="50" t="inlineStr">
        <is>
          <t>Sofia Reyes</t>
        </is>
      </c>
      <c r="C9" s="50" t="inlineStr">
        <is>
          <t>@sofiabakes</t>
        </is>
      </c>
      <c r="D9" s="50" t="inlineStr">
        <is>
          <t>Food &amp; Beverage</t>
        </is>
      </c>
      <c r="E9" s="50" t="inlineStr">
        <is>
          <t>Nano</t>
        </is>
      </c>
      <c r="F9" s="51" t="n">
        <v>4200</v>
      </c>
      <c r="G9" s="51" t="n">
        <v>3100</v>
      </c>
      <c r="H9" s="52" t="n">
        <v>0.118</v>
      </c>
      <c r="I9" s="53">
        <f>G9/F9</f>
        <v/>
      </c>
      <c r="J9" s="50" t="inlineStr">
        <is>
          <t>FALSE</t>
        </is>
      </c>
      <c r="K9" s="50" t="n">
        <v>97</v>
      </c>
      <c r="L9" s="50" t="inlineStr">
        <is>
          <t>18-34</t>
        </is>
      </c>
      <c r="M9" s="50" t="inlineStr">
        <is>
          <t>82% F</t>
        </is>
      </c>
      <c r="N9" s="50" t="inlineStr">
        <is>
          <t>US</t>
        </is>
      </c>
      <c r="O9" s="50" t="inlineStr">
        <is>
          <t>1 / week</t>
        </is>
      </c>
      <c r="P9" s="50" t="n">
        <v>9</v>
      </c>
      <c r="Q9" s="54" t="n">
        <v>180</v>
      </c>
      <c r="R9" s="54" t="n">
        <v>340</v>
      </c>
      <c r="S9" s="54" t="n">
        <v>110</v>
      </c>
      <c r="T9" s="55">
        <f>ROUND(R9/G9*1000,1)</f>
        <v/>
      </c>
      <c r="U9" s="56" t="inlineStr">
        <is>
          <t>Cheapest entry point. Shows an SMB can start a sponsorship for under $400.</t>
        </is>
      </c>
      <c r="V9" s="57" t="inlineStr">
        <is>
          <t>SR</t>
        </is>
      </c>
      <c r="W9" s="57" t="inlineStr">
        <is>
          <t>#E67E22</t>
        </is>
      </c>
      <c r="X9" s="57" t="inlineStr">
        <is>
          <t>Small-kitchen baking. Nothing here needs equipment you do not already own.</t>
        </is>
      </c>
      <c r="Y9" s="57" t="inlineStr">
        <is>
          <t>English; Spanish</t>
        </is>
      </c>
      <c r="Z9" s="57" t="inlineStr">
        <is>
          <t>Integrated; Short</t>
        </is>
      </c>
      <c r="AA9" s="57" t="n">
        <v>7</v>
      </c>
      <c r="AB9" s="57" t="inlineStr">
        <is>
          <t>Baking; Grocery</t>
        </is>
      </c>
    </row>
    <row r="10" ht="15" customHeight="1" s="38">
      <c r="A10" s="50" t="inlineStr">
        <is>
          <t>tom-okafor</t>
        </is>
      </c>
      <c r="B10" s="50" t="inlineStr">
        <is>
          <t>Tom Okafor</t>
        </is>
      </c>
      <c r="C10" s="50" t="inlineStr">
        <is>
          <t>@tomsdesksetup</t>
        </is>
      </c>
      <c r="D10" s="50" t="inlineStr">
        <is>
          <t>Tech Reviews</t>
        </is>
      </c>
      <c r="E10" s="50" t="inlineStr">
        <is>
          <t>Nano</t>
        </is>
      </c>
      <c r="F10" s="51" t="n">
        <v>7800</v>
      </c>
      <c r="G10" s="51" t="n">
        <v>5400</v>
      </c>
      <c r="H10" s="52" t="n">
        <v>0.089</v>
      </c>
      <c r="I10" s="53">
        <f>G10/F10</f>
        <v/>
      </c>
      <c r="J10" s="50" t="inlineStr">
        <is>
          <t>TRUE</t>
        </is>
      </c>
      <c r="K10" s="50" t="n">
        <v>92</v>
      </c>
      <c r="L10" s="50" t="inlineStr">
        <is>
          <t>18-34</t>
        </is>
      </c>
      <c r="M10" s="50" t="inlineStr">
        <is>
          <t>68% M</t>
        </is>
      </c>
      <c r="N10" s="50" t="inlineStr">
        <is>
          <t>UK</t>
        </is>
      </c>
      <c r="O10" s="50" t="inlineStr">
        <is>
          <t>1 / week</t>
        </is>
      </c>
      <c r="P10" s="50" t="n">
        <v>11</v>
      </c>
      <c r="Q10" s="54" t="n">
        <v>260</v>
      </c>
      <c r="R10" s="54" t="n">
        <v>520</v>
      </c>
      <c r="S10" s="54" t="n">
        <v>160</v>
      </c>
      <c r="T10" s="55">
        <f>ROUND(R10/G10*1000,1)</f>
        <v/>
      </c>
      <c r="U10" s="56" t="inlineStr">
        <is>
          <t>Non-US audience — lets you demo a geography filter.</t>
        </is>
      </c>
      <c r="V10" s="57" t="inlineStr">
        <is>
          <t>TO</t>
        </is>
      </c>
      <c r="W10" s="57" t="inlineStr">
        <is>
          <t>#34495E</t>
        </is>
      </c>
      <c r="X10" s="57" t="inlineStr">
        <is>
          <t>Desk setups under a real budget, with the parts that were not worth it named out loud.</t>
        </is>
      </c>
      <c r="Y10" s="57" t="inlineStr">
        <is>
          <t>English</t>
        </is>
      </c>
      <c r="Z10" s="57" t="inlineStr">
        <is>
          <t>Integrated; Dedicated</t>
        </is>
      </c>
      <c r="AA10" s="57" t="n">
        <v>10</v>
      </c>
      <c r="AB10" s="57" t="inlineStr">
        <is>
          <t>Office Furniture; Accessories</t>
        </is>
      </c>
    </row>
    <row r="11" ht="15" customHeight="1" s="38">
      <c r="A11" s="50" t="inlineStr">
        <is>
          <t>hannah-weiss</t>
        </is>
      </c>
      <c r="B11" s="50" t="inlineStr">
        <is>
          <t>Hannah Weiss</t>
        </is>
      </c>
      <c r="C11" s="50" t="inlineStr">
        <is>
          <t>@hannahliftsheavy</t>
        </is>
      </c>
      <c r="D11" s="50" t="inlineStr">
        <is>
          <t>Fitness</t>
        </is>
      </c>
      <c r="E11" s="50" t="inlineStr">
        <is>
          <t>Nano</t>
        </is>
      </c>
      <c r="F11" s="51" t="n">
        <v>9100</v>
      </c>
      <c r="G11" s="51" t="n">
        <v>6800</v>
      </c>
      <c r="H11" s="52" t="n">
        <v>0.102</v>
      </c>
      <c r="I11" s="53">
        <f>G11/F11</f>
        <v/>
      </c>
      <c r="J11" s="50" t="inlineStr">
        <is>
          <t>FALSE</t>
        </is>
      </c>
      <c r="K11" s="50" t="n">
        <v>94</v>
      </c>
      <c r="L11" s="50" t="inlineStr">
        <is>
          <t>25-34</t>
        </is>
      </c>
      <c r="M11" s="50" t="inlineStr">
        <is>
          <t>58% F</t>
        </is>
      </c>
      <c r="N11" s="50" t="inlineStr">
        <is>
          <t>US</t>
        </is>
      </c>
      <c r="O11" s="50" t="inlineStr">
        <is>
          <t>2 / week</t>
        </is>
      </c>
      <c r="P11" s="50" t="n">
        <v>13</v>
      </c>
      <c r="Q11" s="54" t="n">
        <v>300</v>
      </c>
      <c r="R11" s="54" t="n">
        <v>620</v>
      </c>
      <c r="S11" s="54" t="n">
        <v>190</v>
      </c>
      <c r="T11" s="55">
        <f>ROUND(R11/G11*1000,1)</f>
        <v/>
      </c>
      <c r="U11" s="56" t="inlineStr">
        <is>
          <t>Sits right under the 10K Nano/Micro boundary — good for testing tier filters.</t>
        </is>
      </c>
      <c r="V11" s="57" t="inlineStr">
        <is>
          <t>HW</t>
        </is>
      </c>
      <c r="W11" s="57" t="inlineStr">
        <is>
          <t>#16A085</t>
        </is>
      </c>
      <c r="X11" s="57" t="inlineStr">
        <is>
          <t>Strength training explained from first principles, with form checks from viewers.</t>
        </is>
      </c>
      <c r="Y11" s="57" t="inlineStr">
        <is>
          <t>English; German</t>
        </is>
      </c>
      <c r="Z11" s="57" t="inlineStr">
        <is>
          <t>Integrated; Short</t>
        </is>
      </c>
      <c r="AA11" s="57" t="n">
        <v>7</v>
      </c>
      <c r="AB11" s="57" t="inlineStr">
        <is>
          <t>Fitness Equipment; Supplements</t>
        </is>
      </c>
    </row>
    <row r="12" ht="23.25" customHeight="1" s="38">
      <c r="A12" s="50" t="inlineStr">
        <is>
          <t>luis-moreno</t>
        </is>
      </c>
      <c r="B12" s="50" t="inlineStr">
        <is>
          <t>Luis Moreno</t>
        </is>
      </c>
      <c r="C12" s="50" t="inlineStr">
        <is>
          <t>@luisplaysindie</t>
        </is>
      </c>
      <c r="D12" s="50" t="inlineStr">
        <is>
          <t>Gaming</t>
        </is>
      </c>
      <c r="E12" s="50" t="inlineStr">
        <is>
          <t>Nano</t>
        </is>
      </c>
      <c r="F12" s="51" t="n">
        <v>6500</v>
      </c>
      <c r="G12" s="51" t="n">
        <v>12400</v>
      </c>
      <c r="H12" s="52" t="n">
        <v>0.141</v>
      </c>
      <c r="I12" s="53">
        <f>G12/F12</f>
        <v/>
      </c>
      <c r="J12" s="50" t="inlineStr">
        <is>
          <t>TRUE</t>
        </is>
      </c>
      <c r="K12" s="50" t="n">
        <v>88</v>
      </c>
      <c r="L12" s="50" t="inlineStr">
        <is>
          <t>18-24</t>
        </is>
      </c>
      <c r="M12" s="50" t="inlineStr">
        <is>
          <t>64% M</t>
        </is>
      </c>
      <c r="N12" s="50" t="inlineStr">
        <is>
          <t>US</t>
        </is>
      </c>
      <c r="O12" s="50" t="inlineStr">
        <is>
          <t>4 / week</t>
        </is>
      </c>
      <c r="P12" s="50" t="n">
        <v>3</v>
      </c>
      <c r="Q12" s="54" t="n">
        <v>280</v>
      </c>
      <c r="R12" s="54" t="n">
        <v>560</v>
      </c>
      <c r="S12" s="54" t="n">
        <v>200</v>
      </c>
      <c r="T12" s="55">
        <f>ROUND(R12/G12*1000,1)</f>
        <v/>
      </c>
      <c r="U12" s="56" t="inlineStr">
        <is>
          <t>KEY DEMO CASE: avg views are 1.9x subscriber count (Shorts-driven). Proves AI Match ranks on fit, not follower count.</t>
        </is>
      </c>
      <c r="V12" s="57" t="inlineStr">
        <is>
          <t>LM</t>
        </is>
      </c>
      <c r="W12" s="57" t="inlineStr">
        <is>
          <t>#8E44AD</t>
        </is>
      </c>
      <c r="X12" s="57" t="inlineStr">
        <is>
          <t>Short-form indie game finds, three or four a week, mostly things nobody is covering.</t>
        </is>
      </c>
      <c r="Y12" s="57" t="inlineStr">
        <is>
          <t>English; Spanish</t>
        </is>
      </c>
      <c r="Z12" s="57" t="inlineStr">
        <is>
          <t>Short; Integrated</t>
        </is>
      </c>
      <c r="AA12" s="57" t="n">
        <v>5</v>
      </c>
      <c r="AB12" s="57" t="inlineStr">
        <is>
          <t>Gaming Peripherals; Game Publishers</t>
        </is>
      </c>
    </row>
    <row r="13" ht="15" customHeight="1" s="38">
      <c r="A13" s="50" t="inlineStr">
        <is>
          <t>nia-thompson</t>
        </is>
      </c>
      <c r="B13" s="50" t="inlineStr">
        <is>
          <t>Nia Thompson</t>
        </is>
      </c>
      <c r="C13" s="50" t="inlineStr">
        <is>
          <t>@niathreadcount</t>
        </is>
      </c>
      <c r="D13" s="50" t="inlineStr">
        <is>
          <t>Fashion &amp; Beauty</t>
        </is>
      </c>
      <c r="E13" s="50" t="inlineStr">
        <is>
          <t>Micro</t>
        </is>
      </c>
      <c r="F13" s="51" t="n">
        <v>38000</v>
      </c>
      <c r="G13" s="51" t="n">
        <v>19000</v>
      </c>
      <c r="H13" s="52" t="n">
        <v>0.068</v>
      </c>
      <c r="I13" s="53">
        <f>G13/F13</f>
        <v/>
      </c>
      <c r="J13" s="50" t="inlineStr">
        <is>
          <t>TRUE</t>
        </is>
      </c>
      <c r="K13" s="50" t="n">
        <v>93</v>
      </c>
      <c r="L13" s="50" t="inlineStr">
        <is>
          <t>18-34</t>
        </is>
      </c>
      <c r="M13" s="50" t="inlineStr">
        <is>
          <t>88% F</t>
        </is>
      </c>
      <c r="N13" s="50" t="inlineStr">
        <is>
          <t>US</t>
        </is>
      </c>
      <c r="O13" s="50" t="inlineStr">
        <is>
          <t>2 / week</t>
        </is>
      </c>
      <c r="P13" s="50" t="n">
        <v>12</v>
      </c>
      <c r="Q13" s="54" t="n">
        <v>700</v>
      </c>
      <c r="R13" s="54" t="n">
        <v>1500</v>
      </c>
      <c r="S13" s="54" t="n">
        <v>420</v>
      </c>
      <c r="T13" s="55">
        <f>ROUND(R13/G13*1000,1)</f>
        <v/>
      </c>
      <c r="U13" s="56" t="inlineStr">
        <is>
          <t>Strongest gender skew in the roster — useful for audience-targeting demos.</t>
        </is>
      </c>
      <c r="V13" s="57" t="inlineStr">
        <is>
          <t>NT</t>
        </is>
      </c>
      <c r="W13" s="57" t="inlineStr">
        <is>
          <t>#D35D8B</t>
        </is>
      </c>
      <c r="X13" s="57" t="inlineStr">
        <is>
          <t>Thrift flips and capsule wardrobes for people who want fewer, better clothes.</t>
        </is>
      </c>
      <c r="Y13" s="57" t="inlineStr">
        <is>
          <t>English</t>
        </is>
      </c>
      <c r="Z13" s="57" t="inlineStr">
        <is>
          <t>Integrated; Dedicated; Short</t>
        </is>
      </c>
      <c r="AA13" s="57" t="n">
        <v>10</v>
      </c>
      <c r="AB13" s="57" t="inlineStr">
        <is>
          <t>Apparel; Resale Platforms</t>
        </is>
      </c>
    </row>
    <row r="14" ht="23.25" customHeight="1" s="38">
      <c r="A14" s="50" t="inlineStr">
        <is>
          <t>kenji-watanabe</t>
        </is>
      </c>
      <c r="B14" s="50" t="inlineStr">
        <is>
          <t>Kenji Watanabe</t>
        </is>
      </c>
      <c r="C14" s="50" t="inlineStr">
        <is>
          <t>@kenjibuildsbikes</t>
        </is>
      </c>
      <c r="D14" s="50" t="inlineStr">
        <is>
          <t>Outdoor &amp; Gear</t>
        </is>
      </c>
      <c r="E14" s="50" t="inlineStr">
        <is>
          <t>Micro</t>
        </is>
      </c>
      <c r="F14" s="51" t="n">
        <v>51000</v>
      </c>
      <c r="G14" s="51" t="n">
        <v>33000</v>
      </c>
      <c r="H14" s="52" t="n">
        <v>0.081</v>
      </c>
      <c r="I14" s="53">
        <f>G14/F14</f>
        <v/>
      </c>
      <c r="J14" s="50" t="inlineStr">
        <is>
          <t>TRUE</t>
        </is>
      </c>
      <c r="K14" s="50" t="n">
        <v>95</v>
      </c>
      <c r="L14" s="50" t="inlineStr">
        <is>
          <t>25-44</t>
        </is>
      </c>
      <c r="M14" s="50" t="inlineStr">
        <is>
          <t>73% M</t>
        </is>
      </c>
      <c r="N14" s="50" t="inlineStr">
        <is>
          <t>US</t>
        </is>
      </c>
      <c r="O14" s="50" t="inlineStr">
        <is>
          <t>1 / week</t>
        </is>
      </c>
      <c r="P14" s="50" t="n">
        <v>20</v>
      </c>
      <c r="Q14" s="54" t="n">
        <v>950</v>
      </c>
      <c r="R14" s="54" t="n">
        <v>2100</v>
      </c>
      <c r="S14" s="54" t="n">
        <v>520</v>
      </c>
      <c r="T14" s="55">
        <f>ROUND(R14/G14*1000,1)</f>
        <v/>
      </c>
      <c r="U14" s="56" t="inlineStr">
        <is>
          <t>65% view-to-sub ratio — unusually loyal audience. Second-best 'fit beats size' example.</t>
        </is>
      </c>
      <c r="V14" s="57" t="inlineStr">
        <is>
          <t>KW</t>
        </is>
      </c>
      <c r="W14" s="57" t="inlineStr">
        <is>
          <t>#2980B9</t>
        </is>
      </c>
      <c r="X14" s="57" t="inlineStr">
        <is>
          <t>Bike builds and teardowns with real mileage behind every recommendation.</t>
        </is>
      </c>
      <c r="Y14" s="57" t="inlineStr">
        <is>
          <t>English; Japanese</t>
        </is>
      </c>
      <c r="Z14" s="57" t="inlineStr">
        <is>
          <t>Dedicated; Integrated</t>
        </is>
      </c>
      <c r="AA14" s="57" t="n">
        <v>21</v>
      </c>
      <c r="AB14" s="57" t="inlineStr">
        <is>
          <t>Cycling; Outdoor Gear</t>
        </is>
      </c>
    </row>
    <row r="15" ht="15" customHeight="1" s="38">
      <c r="A15" s="50" t="inlineStr">
        <is>
          <t>amara-osei</t>
        </is>
      </c>
      <c r="B15" s="50" t="inlineStr">
        <is>
          <t>Amara Osei</t>
        </is>
      </c>
      <c r="C15" s="50" t="inlineStr">
        <is>
          <t>@amaraparents</t>
        </is>
      </c>
      <c r="D15" s="50" t="inlineStr">
        <is>
          <t>Parenting &amp; Family</t>
        </is>
      </c>
      <c r="E15" s="50" t="inlineStr">
        <is>
          <t>Micro</t>
        </is>
      </c>
      <c r="F15" s="51" t="n">
        <v>29000</v>
      </c>
      <c r="G15" s="51" t="n">
        <v>11000</v>
      </c>
      <c r="H15" s="52" t="n">
        <v>0.054</v>
      </c>
      <c r="I15" s="53">
        <f>G15/F15</f>
        <v/>
      </c>
      <c r="J15" s="50" t="inlineStr">
        <is>
          <t>FALSE</t>
        </is>
      </c>
      <c r="K15" s="50" t="n">
        <v>99</v>
      </c>
      <c r="L15" s="50" t="inlineStr">
        <is>
          <t>30-44</t>
        </is>
      </c>
      <c r="M15" s="50" t="inlineStr">
        <is>
          <t>76% F</t>
        </is>
      </c>
      <c r="N15" s="50" t="inlineStr">
        <is>
          <t>US</t>
        </is>
      </c>
      <c r="O15" s="50" t="inlineStr">
        <is>
          <t>1 / week</t>
        </is>
      </c>
      <c r="P15" s="50" t="n">
        <v>14</v>
      </c>
      <c r="Q15" s="54" t="n">
        <v>560</v>
      </c>
      <c r="R15" s="54" t="n">
        <v>1200</v>
      </c>
      <c r="S15" s="54" t="n">
        <v>340</v>
      </c>
      <c r="T15" s="55">
        <f>ROUND(R15/G15*1000,1)</f>
        <v/>
      </c>
      <c r="U15" s="56" t="inlineStr">
        <is>
          <t>Highest safety score. Brand-safe category for risk-averse sponsors.</t>
        </is>
      </c>
      <c r="V15" s="57" t="inlineStr">
        <is>
          <t>AO</t>
        </is>
      </c>
      <c r="W15" s="57" t="inlineStr">
        <is>
          <t>#F39C12</t>
        </is>
      </c>
      <c r="X15" s="57" t="inlineStr">
        <is>
          <t>Parenting content with real portions, real budgets and no staged mornings.</t>
        </is>
      </c>
      <c r="Y15" s="57" t="inlineStr">
        <is>
          <t>English; French</t>
        </is>
      </c>
      <c r="Z15" s="57" t="inlineStr">
        <is>
          <t>Integrated</t>
        </is>
      </c>
      <c r="AA15" s="57" t="n">
        <v>14</v>
      </c>
      <c r="AB15" s="57" t="inlineStr">
        <is>
          <t>Baby Care; Grocery; Household</t>
        </is>
      </c>
    </row>
    <row r="16" ht="23.25" customHeight="1" s="38">
      <c r="A16" s="50" t="inlineStr">
        <is>
          <t>ryan-novak</t>
        </is>
      </c>
      <c r="B16" s="50" t="inlineStr">
        <is>
          <t>Ryan Novak</t>
        </is>
      </c>
      <c r="C16" s="50" t="inlineStr">
        <is>
          <t>@ryannovakfinance</t>
        </is>
      </c>
      <c r="D16" s="50" t="inlineStr">
        <is>
          <t>Personal Finance</t>
        </is>
      </c>
      <c r="E16" s="50" t="inlineStr">
        <is>
          <t>Micro</t>
        </is>
      </c>
      <c r="F16" s="51" t="n">
        <v>67000</v>
      </c>
      <c r="G16" s="51" t="n">
        <v>24000</v>
      </c>
      <c r="H16" s="52" t="n">
        <v>0.041</v>
      </c>
      <c r="I16" s="53">
        <f>G16/F16</f>
        <v/>
      </c>
      <c r="J16" s="50" t="inlineStr">
        <is>
          <t>TRUE</t>
        </is>
      </c>
      <c r="K16" s="50" t="n">
        <v>82</v>
      </c>
      <c r="L16" s="50" t="inlineStr">
        <is>
          <t>25-34</t>
        </is>
      </c>
      <c r="M16" s="50" t="inlineStr">
        <is>
          <t>69% M</t>
        </is>
      </c>
      <c r="N16" s="50" t="inlineStr">
        <is>
          <t>US</t>
        </is>
      </c>
      <c r="O16" s="50" t="inlineStr">
        <is>
          <t>2 / week</t>
        </is>
      </c>
      <c r="P16" s="50" t="n">
        <v>16</v>
      </c>
      <c r="Q16" s="54" t="n">
        <v>1000</v>
      </c>
      <c r="R16" s="54" t="n">
        <v>2200</v>
      </c>
      <c r="S16" s="54" t="n">
        <v>550</v>
      </c>
      <c r="T16" s="55">
        <f>ROUND(R16/G16*1000,1)</f>
        <v/>
      </c>
      <c r="U16" s="56" t="inlineStr">
        <is>
          <t>KEY DEMO CASE: finance category, safety 82. Best subject for the AI content-review screen (unsubstantiated return claims).</t>
        </is>
      </c>
      <c r="V16" s="57" t="inlineStr">
        <is>
          <t>RN</t>
        </is>
      </c>
      <c r="W16" s="57" t="inlineStr">
        <is>
          <t>#7F8C8D</t>
        </is>
      </c>
      <c r="X16" s="57" t="inlineStr">
        <is>
          <t>Personal finance without jargon, aimed at people starting from zero.</t>
        </is>
      </c>
      <c r="Y16" s="57" t="inlineStr">
        <is>
          <t>English</t>
        </is>
      </c>
      <c r="Z16" s="57" t="inlineStr">
        <is>
          <t>Integrated; Dedicated</t>
        </is>
      </c>
      <c r="AA16" s="57" t="n">
        <v>10</v>
      </c>
      <c r="AB16" s="57" t="inlineStr">
        <is>
          <t>Fintech; Banking</t>
        </is>
      </c>
    </row>
    <row r="17" ht="23.25" customHeight="1" s="38">
      <c r="A17" s="50" t="inlineStr">
        <is>
          <t>chloe-baptiste</t>
        </is>
      </c>
      <c r="B17" s="50" t="inlineStr">
        <is>
          <t>Chloe Baptiste</t>
        </is>
      </c>
      <c r="C17" s="50" t="inlineStr">
        <is>
          <t>@chloeskinscience</t>
        </is>
      </c>
      <c r="D17" s="50" t="inlineStr">
        <is>
          <t>Beauty &amp; Skincare</t>
        </is>
      </c>
      <c r="E17" s="50" t="inlineStr">
        <is>
          <t>Micro</t>
        </is>
      </c>
      <c r="F17" s="51" t="n">
        <v>45000</v>
      </c>
      <c r="G17" s="51" t="n">
        <v>26000</v>
      </c>
      <c r="H17" s="52" t="n">
        <v>0.076</v>
      </c>
      <c r="I17" s="53">
        <f>G17/F17</f>
        <v/>
      </c>
      <c r="J17" s="50" t="inlineStr">
        <is>
          <t>TRUE</t>
        </is>
      </c>
      <c r="K17" s="50" t="n">
        <v>91</v>
      </c>
      <c r="L17" s="50" t="inlineStr">
        <is>
          <t>18-34</t>
        </is>
      </c>
      <c r="M17" s="50" t="inlineStr">
        <is>
          <t>91% F</t>
        </is>
      </c>
      <c r="N17" s="50" t="inlineStr">
        <is>
          <t>CA</t>
        </is>
      </c>
      <c r="O17" s="50" t="inlineStr">
        <is>
          <t>2 / week</t>
        </is>
      </c>
      <c r="P17" s="50" t="n">
        <v>11</v>
      </c>
      <c r="Q17" s="54" t="n">
        <v>820</v>
      </c>
      <c r="R17" s="54" t="n">
        <v>1800</v>
      </c>
      <c r="S17" s="54" t="n">
        <v>460</v>
      </c>
      <c r="T17" s="55">
        <f>ROUND(R17/G17*1000,1)</f>
        <v/>
      </c>
      <c r="U17" s="56" t="inlineStr">
        <is>
          <t>Skincare efficacy claims are the classic FTC risk area — second-best review demo.</t>
        </is>
      </c>
      <c r="V17" s="57" t="inlineStr">
        <is>
          <t>CB</t>
        </is>
      </c>
      <c r="W17" s="57" t="inlineStr">
        <is>
          <t>#C2418E</t>
        </is>
      </c>
      <c r="X17" s="57" t="inlineStr">
        <is>
          <t>Skincare read against the actual studies, with patch tests on camera.</t>
        </is>
      </c>
      <c r="Y17" s="57" t="inlineStr">
        <is>
          <t>English; French</t>
        </is>
      </c>
      <c r="Z17" s="57" t="inlineStr">
        <is>
          <t>Integrated; Dedicated; Short</t>
        </is>
      </c>
      <c r="AA17" s="57" t="n">
        <v>14</v>
      </c>
      <c r="AB17" s="57" t="inlineStr">
        <is>
          <t>Skincare; Beauty Retail</t>
        </is>
      </c>
    </row>
    <row r="18" ht="34.5" customHeight="1" s="38">
      <c r="A18" s="50" t="inlineStr">
        <is>
          <t>marcus-hale</t>
        </is>
      </c>
      <c r="B18" s="50" t="inlineStr">
        <is>
          <t>Marcus Hale</t>
        </is>
      </c>
      <c r="C18" s="50" t="inlineStr">
        <is>
          <t>@marcushalegames</t>
        </is>
      </c>
      <c r="D18" s="50" t="inlineStr">
        <is>
          <t>Gaming</t>
        </is>
      </c>
      <c r="E18" s="50" t="inlineStr">
        <is>
          <t>Micro</t>
        </is>
      </c>
      <c r="F18" s="51" t="n">
        <v>92000</v>
      </c>
      <c r="G18" s="51" t="n">
        <v>28000</v>
      </c>
      <c r="H18" s="52" t="n">
        <v>0.032</v>
      </c>
      <c r="I18" s="53">
        <f>G18/F18</f>
        <v/>
      </c>
      <c r="J18" s="50" t="inlineStr">
        <is>
          <t>FALSE</t>
        </is>
      </c>
      <c r="K18" s="50" t="n">
        <v>71</v>
      </c>
      <c r="L18" s="50" t="inlineStr">
        <is>
          <t>18-24</t>
        </is>
      </c>
      <c r="M18" s="50" t="inlineStr">
        <is>
          <t>81% M</t>
        </is>
      </c>
      <c r="N18" s="50" t="inlineStr">
        <is>
          <t>US</t>
        </is>
      </c>
      <c r="O18" s="50" t="inlineStr">
        <is>
          <t>3 / week</t>
        </is>
      </c>
      <c r="P18" s="50" t="n">
        <v>22</v>
      </c>
      <c r="Q18" s="54" t="n">
        <v>1150</v>
      </c>
      <c r="R18" s="54" t="n">
        <v>2600</v>
      </c>
      <c r="S18" s="54" t="n">
        <v>700</v>
      </c>
      <c r="T18" s="55">
        <f>ROUND(R18/G18*1000,1)</f>
        <v/>
      </c>
      <c r="U18" s="56" t="inlineStr">
        <is>
          <t>KEY DEMO CASE: big subscriber count, weakest engagement (3.2%) and lowest safety (71). AI Match should rank him LOW — proves the score does real work.</t>
        </is>
      </c>
      <c r="V18" s="57" t="inlineStr">
        <is>
          <t>MH</t>
        </is>
      </c>
      <c r="W18" s="57" t="inlineStr">
        <is>
          <t>#95A5A6</t>
        </is>
      </c>
      <c r="X18" s="57" t="inlineStr">
        <is>
          <t>Reaction and commentary on game launches, posted three times a week.</t>
        </is>
      </c>
      <c r="Y18" s="57" t="inlineStr">
        <is>
          <t>English</t>
        </is>
      </c>
      <c r="Z18" s="57" t="inlineStr">
        <is>
          <t>Integrated; Short</t>
        </is>
      </c>
      <c r="AA18" s="57" t="n">
        <v>5</v>
      </c>
      <c r="AB18" s="57" t="inlineStr">
        <is>
          <t>Gaming Peripherals; Energy Drinks</t>
        </is>
      </c>
    </row>
    <row r="19" ht="15" customHeight="1" s="38">
      <c r="A19" s="50" t="inlineStr">
        <is>
          <t>elena-rossi</t>
        </is>
      </c>
      <c r="B19" s="50" t="inlineStr">
        <is>
          <t>Elena Rossi</t>
        </is>
      </c>
      <c r="C19" s="50" t="inlineStr">
        <is>
          <t>@elenacooksitalian</t>
        </is>
      </c>
      <c r="D19" s="50" t="inlineStr">
        <is>
          <t>Cooking</t>
        </is>
      </c>
      <c r="E19" s="50" t="inlineStr">
        <is>
          <t>Mid-tier</t>
        </is>
      </c>
      <c r="F19" s="51" t="n">
        <v>204000</v>
      </c>
      <c r="G19" s="51" t="n">
        <v>88000</v>
      </c>
      <c r="H19" s="52" t="n">
        <v>0.061</v>
      </c>
      <c r="I19" s="53">
        <f>G19/F19</f>
        <v/>
      </c>
      <c r="J19" s="50" t="inlineStr">
        <is>
          <t>TRUE</t>
        </is>
      </c>
      <c r="K19" s="50" t="n">
        <v>96</v>
      </c>
      <c r="L19" s="50" t="inlineStr">
        <is>
          <t>25-44</t>
        </is>
      </c>
      <c r="M19" s="50" t="inlineStr">
        <is>
          <t>63% F</t>
        </is>
      </c>
      <c r="N19" s="50" t="inlineStr">
        <is>
          <t>US</t>
        </is>
      </c>
      <c r="O19" s="50" t="inlineStr">
        <is>
          <t>1 / week</t>
        </is>
      </c>
      <c r="P19" s="50" t="n">
        <v>17</v>
      </c>
      <c r="Q19" s="54" t="n">
        <v>2400</v>
      </c>
      <c r="R19" s="54" t="n">
        <v>5400</v>
      </c>
      <c r="S19" s="54" t="n">
        <v>1200</v>
      </c>
      <c r="T19" s="55">
        <f>ROUND(R19/G19*1000,1)</f>
        <v/>
      </c>
      <c r="U19" s="56" t="inlineStr">
        <is>
          <t>High reach plus high safety — the premium option in the food vertical.</t>
        </is>
      </c>
      <c r="V19" s="57" t="inlineStr">
        <is>
          <t>ER</t>
        </is>
      </c>
      <c r="W19" s="57" t="inlineStr">
        <is>
          <t>#B03A2E</t>
        </is>
      </c>
      <c r="X19" s="57" t="inlineStr">
        <is>
          <t>Regional Italian cooking held to the standard it is actually cooked to.</t>
        </is>
      </c>
      <c r="Y19" s="57" t="inlineStr">
        <is>
          <t>English; Italian</t>
        </is>
      </c>
      <c r="Z19" s="57" t="inlineStr">
        <is>
          <t>Dedicated; Integrated</t>
        </is>
      </c>
      <c r="AA19" s="57" t="n">
        <v>21</v>
      </c>
      <c r="AB19" s="57" t="inlineStr">
        <is>
          <t>Grocery; Kitchenware; Travel</t>
        </is>
      </c>
    </row>
    <row r="20" ht="23.25" customHeight="1" s="38">
      <c r="A20" s="50" t="inlineStr">
        <is>
          <t>devon-clarke</t>
        </is>
      </c>
      <c r="B20" s="50" t="inlineStr">
        <is>
          <t>Devon Clarke</t>
        </is>
      </c>
      <c r="C20" s="50" t="inlineStr">
        <is>
          <t>@devonfitlife</t>
        </is>
      </c>
      <c r="D20" s="50" t="inlineStr">
        <is>
          <t>Fitness</t>
        </is>
      </c>
      <c r="E20" s="50" t="inlineStr">
        <is>
          <t>Mid-tier</t>
        </is>
      </c>
      <c r="F20" s="51" t="n">
        <v>128000</v>
      </c>
      <c r="G20" s="51" t="n">
        <v>41000</v>
      </c>
      <c r="H20" s="52" t="n">
        <v>0.038</v>
      </c>
      <c r="I20" s="53">
        <f>G20/F20</f>
        <v/>
      </c>
      <c r="J20" s="50" t="inlineStr">
        <is>
          <t>TRUE</t>
        </is>
      </c>
      <c r="K20" s="50" t="n">
        <v>87</v>
      </c>
      <c r="L20" s="50" t="inlineStr">
        <is>
          <t>18-34</t>
        </is>
      </c>
      <c r="M20" s="50" t="inlineStr">
        <is>
          <t>55% M</t>
        </is>
      </c>
      <c r="N20" s="50" t="inlineStr">
        <is>
          <t>US</t>
        </is>
      </c>
      <c r="O20" s="50" t="inlineStr">
        <is>
          <t>2 / week</t>
        </is>
      </c>
      <c r="P20" s="50" t="n">
        <v>14</v>
      </c>
      <c r="Q20" s="54" t="n">
        <v>1700</v>
      </c>
      <c r="R20" s="54" t="n">
        <v>3800</v>
      </c>
      <c r="S20" s="54" t="n">
        <v>850</v>
      </c>
      <c r="T20" s="55">
        <f>ROUND(R20/G20*1000,1)</f>
        <v/>
      </c>
      <c r="U20" s="56" t="inlineStr">
        <is>
          <t>Expensive per view. Useful for showing the fair-price guidance flagging poor value.</t>
        </is>
      </c>
      <c r="V20" s="57" t="inlineStr">
        <is>
          <t>DC</t>
        </is>
      </c>
      <c r="W20" s="57" t="inlineStr">
        <is>
          <t>#1F618D</t>
        </is>
      </c>
      <c r="X20" s="57" t="inlineStr">
        <is>
          <t>Training programmes run in full and reported with the numbers that came out.</t>
        </is>
      </c>
      <c r="Y20" s="57" t="inlineStr">
        <is>
          <t>English</t>
        </is>
      </c>
      <c r="Z20" s="57" t="inlineStr">
        <is>
          <t>Integrated; Dedicated</t>
        </is>
      </c>
      <c r="AA20" s="57" t="n">
        <v>14</v>
      </c>
      <c r="AB20" s="57" t="inlineStr">
        <is>
          <t>Fitness Equipment; Apparel</t>
        </is>
      </c>
    </row>
    <row r="21" ht="15" customHeight="1" s="38">
      <c r="A21" s="50" t="inlineStr">
        <is>
          <t>yuki-tanaka</t>
        </is>
      </c>
      <c r="B21" s="50" t="inlineStr">
        <is>
          <t>Yuki Tanaka</t>
        </is>
      </c>
      <c r="C21" s="50" t="inlineStr">
        <is>
          <t>@yukitechjp</t>
        </is>
      </c>
      <c r="D21" s="50" t="inlineStr">
        <is>
          <t>Tech Reviews</t>
        </is>
      </c>
      <c r="E21" s="50" t="inlineStr">
        <is>
          <t>Mid-tier</t>
        </is>
      </c>
      <c r="F21" s="51" t="n">
        <v>470000</v>
      </c>
      <c r="G21" s="51" t="n">
        <v>155000</v>
      </c>
      <c r="H21" s="52" t="n">
        <v>0.049</v>
      </c>
      <c r="I21" s="53">
        <f>G21/F21</f>
        <v/>
      </c>
      <c r="J21" s="50" t="inlineStr">
        <is>
          <t>TRUE</t>
        </is>
      </c>
      <c r="K21" s="50" t="n">
        <v>89</v>
      </c>
      <c r="L21" s="50" t="inlineStr">
        <is>
          <t>18-34</t>
        </is>
      </c>
      <c r="M21" s="50" t="inlineStr">
        <is>
          <t>74% M</t>
        </is>
      </c>
      <c r="N21" s="50" t="inlineStr">
        <is>
          <t>JP</t>
        </is>
      </c>
      <c r="O21" s="50" t="inlineStr">
        <is>
          <t>2 / week</t>
        </is>
      </c>
      <c r="P21" s="50" t="n">
        <v>16</v>
      </c>
      <c r="Q21" s="54" t="n">
        <v>4200</v>
      </c>
      <c r="R21" s="54" t="n">
        <v>9500</v>
      </c>
      <c r="S21" s="54" t="n">
        <v>1900</v>
      </c>
      <c r="T21" s="55">
        <f>ROUND(R21/G21*1000,1)</f>
        <v/>
      </c>
      <c r="U21" s="56" t="inlineStr">
        <is>
          <t>Largest creator in the roster. Sits just under the $10,000 price-slider ceiling.</t>
        </is>
      </c>
      <c r="V21" s="57" t="inlineStr">
        <is>
          <t>YT</t>
        </is>
      </c>
      <c r="W21" s="57" t="inlineStr">
        <is>
          <t>#212F3D</t>
        </is>
      </c>
      <c r="X21" s="57" t="inlineStr">
        <is>
          <t>Hardware teardowns and measured tests, including gear that never leaves Japan.</t>
        </is>
      </c>
      <c r="Y21" s="57" t="inlineStr">
        <is>
          <t>Japanese; English</t>
        </is>
      </c>
      <c r="Z21" s="57" t="inlineStr">
        <is>
          <t>Dedicated; Integrated</t>
        </is>
      </c>
      <c r="AA21" s="57" t="n">
        <v>21</v>
      </c>
      <c r="AB21" s="57" t="inlineStr">
        <is>
          <t>Consumer Electronics; Accessories</t>
        </is>
      </c>
    </row>
    <row r="22" ht="23.25" customHeight="1" s="38">
      <c r="A22" s="50" t="inlineStr">
        <is>
          <t>isabel-cruz</t>
        </is>
      </c>
      <c r="B22" s="50" t="inlineStr">
        <is>
          <t>Isabel Cruz</t>
        </is>
      </c>
      <c r="C22" s="50" t="inlineStr">
        <is>
          <t>@isabelhomecafe</t>
        </is>
      </c>
      <c r="D22" s="50" t="inlineStr">
        <is>
          <t>Food &amp; Beverage</t>
        </is>
      </c>
      <c r="E22" s="50" t="inlineStr">
        <is>
          <t>Mid-tier</t>
        </is>
      </c>
      <c r="F22" s="51" t="n">
        <v>141000</v>
      </c>
      <c r="G22" s="51" t="n">
        <v>76000</v>
      </c>
      <c r="H22" s="52" t="n">
        <v>0.08400000000000001</v>
      </c>
      <c r="I22" s="53">
        <f>G22/F22</f>
        <v/>
      </c>
      <c r="J22" s="50" t="inlineStr">
        <is>
          <t>TRUE</t>
        </is>
      </c>
      <c r="K22" s="50" t="n">
        <v>94</v>
      </c>
      <c r="L22" s="50" t="inlineStr">
        <is>
          <t>18-34</t>
        </is>
      </c>
      <c r="M22" s="50" t="inlineStr">
        <is>
          <t>79% F</t>
        </is>
      </c>
      <c r="N22" s="50" t="inlineStr">
        <is>
          <t>US</t>
        </is>
      </c>
      <c r="O22" s="50" t="inlineStr">
        <is>
          <t>2 / week</t>
        </is>
      </c>
      <c r="P22" s="50" t="n">
        <v>10</v>
      </c>
      <c r="Q22" s="54" t="n">
        <v>1900</v>
      </c>
      <c r="R22" s="54" t="n">
        <v>4300</v>
      </c>
      <c r="S22" s="54" t="n">
        <v>980</v>
      </c>
      <c r="T22" s="55">
        <f>ROUND(R22/G22*1000,1)</f>
        <v/>
      </c>
      <c r="U22" s="56" t="inlineStr">
        <is>
          <t>KEY DEMO CASE: best overall fit for the Food &amp; Beverage demo campaign. Should rank #1 in AI Match.</t>
        </is>
      </c>
      <c r="V22" s="57" t="inlineStr">
        <is>
          <t>IC</t>
        </is>
      </c>
      <c r="W22" s="57" t="inlineStr">
        <is>
          <t>#A0522D</t>
        </is>
      </c>
      <c r="X22" s="57" t="inlineStr">
        <is>
          <t>Cafe drinks rebuilt for a home kitchen, tested on equipment people can afford.</t>
        </is>
      </c>
      <c r="Y22" s="57" t="inlineStr">
        <is>
          <t>English; Spanish</t>
        </is>
      </c>
      <c r="Z22" s="57" t="inlineStr">
        <is>
          <t>Integrated; Dedicated; Short</t>
        </is>
      </c>
      <c r="AA22" s="57" t="n">
        <v>10</v>
      </c>
      <c r="AB22" s="57" t="inlineStr">
        <is>
          <t>Coffee; Small Appliances; Grocery</t>
        </is>
      </c>
    </row>
    <row r="23">
      <c r="A23" s="50" t="inlineStr">
        <is>
          <t>cara-nolan</t>
        </is>
      </c>
      <c r="B23" s="50" t="inlineStr">
        <is>
          <t>Cara Nolan</t>
        </is>
      </c>
      <c r="C23" s="50" t="inlineStr">
        <is>
          <t>@caranolaneats</t>
        </is>
      </c>
      <c r="D23" s="50" t="inlineStr">
        <is>
          <t>Food &amp; Beverage</t>
        </is>
      </c>
      <c r="E23" s="50" t="inlineStr">
        <is>
          <t>Micro</t>
        </is>
      </c>
      <c r="F23" s="51" t="n">
        <v>61000</v>
      </c>
      <c r="G23" s="51" t="n">
        <v>32000</v>
      </c>
      <c r="H23" s="52" t="n">
        <v>0.06900000000000001</v>
      </c>
      <c r="I23" s="53">
        <f>G23/F23</f>
        <v/>
      </c>
      <c r="J23" s="50" t="inlineStr">
        <is>
          <t>TRUE</t>
        </is>
      </c>
      <c r="K23" s="50" t="n">
        <v>94</v>
      </c>
      <c r="L23" s="50" t="inlineStr">
        <is>
          <t>25-34</t>
        </is>
      </c>
      <c r="M23" s="50" t="inlineStr">
        <is>
          <t>64% F</t>
        </is>
      </c>
      <c r="N23" s="50" t="inlineStr">
        <is>
          <t>US</t>
        </is>
      </c>
      <c r="O23" s="50" t="inlineStr">
        <is>
          <t>2 / week</t>
        </is>
      </c>
      <c r="P23" s="50" t="n">
        <v>11</v>
      </c>
      <c r="Q23" s="54" t="n">
        <v>1180</v>
      </c>
      <c r="R23" s="54" t="n">
        <v>2500</v>
      </c>
      <c r="S23" s="54" t="n">
        <v>600</v>
      </c>
      <c r="T23" s="55">
        <f>ROUND(R23/G23*1000,1)</f>
        <v/>
      </c>
      <c r="U23" s="56" t="inlineStr">
        <is>
          <t>Solid mid-Micro F&amp;B match for the demo vertical.</t>
        </is>
      </c>
      <c r="V23" s="57" t="inlineStr">
        <is>
          <t>CN</t>
        </is>
      </c>
      <c r="W23" s="57" t="inlineStr">
        <is>
          <t>#B03A2E</t>
        </is>
      </c>
      <c r="X23" s="57" t="inlineStr">
        <is>
          <t>Farmers-market hauls turned into a week of no-waste dinners.</t>
        </is>
      </c>
      <c r="Y23" s="57" t="inlineStr">
        <is>
          <t>English</t>
        </is>
      </c>
      <c r="Z23" s="57" t="inlineStr">
        <is>
          <t>Integrated; Dedicated; Short</t>
        </is>
      </c>
      <c r="AA23" s="57" t="n">
        <v>10</v>
      </c>
      <c r="AB23" s="57" t="inlineStr">
        <is>
          <t>Food &amp; Beverage; Grocery</t>
        </is>
      </c>
    </row>
    <row r="24" ht="15" customHeight="1" s="38">
      <c r="A24" s="50" t="inlineStr">
        <is>
          <t>theo-mensah</t>
        </is>
      </c>
      <c r="B24" s="50" t="inlineStr">
        <is>
          <t>Theo Mensah</t>
        </is>
      </c>
      <c r="C24" s="50" t="inlineStr">
        <is>
          <t>@theostreetfood</t>
        </is>
      </c>
      <c r="D24" s="50" t="inlineStr">
        <is>
          <t>Food &amp; Beverage</t>
        </is>
      </c>
      <c r="E24" s="50" t="inlineStr">
        <is>
          <t>Nano</t>
        </is>
      </c>
      <c r="F24" s="51" t="n">
        <v>8600</v>
      </c>
      <c r="G24" s="51" t="n">
        <v>5000</v>
      </c>
      <c r="H24" s="52" t="n">
        <v>0.108</v>
      </c>
      <c r="I24" s="53">
        <f>G24/F24</f>
        <v/>
      </c>
      <c r="J24" s="50" t="inlineStr">
        <is>
          <t>FALSE</t>
        </is>
      </c>
      <c r="K24" s="50" t="n">
        <v>93</v>
      </c>
      <c r="L24" s="50" t="inlineStr">
        <is>
          <t>18-34</t>
        </is>
      </c>
      <c r="M24" s="50" t="inlineStr">
        <is>
          <t>57% M</t>
        </is>
      </c>
      <c r="N24" s="50" t="inlineStr">
        <is>
          <t>UK</t>
        </is>
      </c>
      <c r="O24" s="50" t="inlineStr">
        <is>
          <t>1 / week</t>
        </is>
      </c>
      <c r="P24" s="50" t="n">
        <v>14</v>
      </c>
      <c r="Q24" s="54" t="n">
        <v>240</v>
      </c>
      <c r="R24" s="54" t="n">
        <v>500</v>
      </c>
      <c r="S24" s="54" t="n">
        <v>120</v>
      </c>
      <c r="T24" s="55">
        <f>ROUND(R24/G24*1000,1)</f>
        <v/>
      </c>
      <c r="U24" s="56" t="inlineStr">
        <is>
          <t>Non-US, unverified — geography + verification contrast.</t>
        </is>
      </c>
      <c r="V24" s="57" t="inlineStr">
        <is>
          <t>TM</t>
        </is>
      </c>
      <c r="W24" s="57" t="inlineStr">
        <is>
          <t>#CA6F1E</t>
        </is>
      </c>
      <c r="X24" s="57" t="inlineStr">
        <is>
          <t>Street-food recreations from around the world, cooked in a tiny London flat.</t>
        </is>
      </c>
      <c r="Y24" s="57" t="inlineStr">
        <is>
          <t>English</t>
        </is>
      </c>
      <c r="Z24" s="57" t="inlineStr">
        <is>
          <t>Integrated; Dedicated; Short</t>
        </is>
      </c>
      <c r="AA24" s="57" t="n">
        <v>9</v>
      </c>
      <c r="AB24" s="57" t="inlineStr">
        <is>
          <t>Food &amp; Beverage; Cookware</t>
        </is>
      </c>
    </row>
    <row r="25">
      <c r="A25" s="50" t="inlineStr">
        <is>
          <t>bianca-ferro</t>
        </is>
      </c>
      <c r="B25" s="50" t="inlineStr">
        <is>
          <t>Bianca Ferro</t>
        </is>
      </c>
      <c r="C25" s="50" t="inlineStr">
        <is>
          <t>@biancapasta</t>
        </is>
      </c>
      <c r="D25" s="50" t="inlineStr">
        <is>
          <t>Cooking</t>
        </is>
      </c>
      <c r="E25" s="50" t="inlineStr">
        <is>
          <t>Micro</t>
        </is>
      </c>
      <c r="F25" s="51" t="n">
        <v>73000</v>
      </c>
      <c r="G25" s="51" t="n">
        <v>34000</v>
      </c>
      <c r="H25" s="52" t="n">
        <v>0.066</v>
      </c>
      <c r="I25" s="53">
        <f>G25/F25</f>
        <v/>
      </c>
      <c r="J25" s="50" t="inlineStr">
        <is>
          <t>TRUE</t>
        </is>
      </c>
      <c r="K25" s="50" t="n">
        <v>95</v>
      </c>
      <c r="L25" s="50" t="inlineStr">
        <is>
          <t>25-44</t>
        </is>
      </c>
      <c r="M25" s="50" t="inlineStr">
        <is>
          <t>59% F</t>
        </is>
      </c>
      <c r="N25" s="50" t="inlineStr">
        <is>
          <t>US</t>
        </is>
      </c>
      <c r="O25" s="50" t="inlineStr">
        <is>
          <t>1 / week</t>
        </is>
      </c>
      <c r="P25" s="50" t="n">
        <v>16</v>
      </c>
      <c r="Q25" s="54" t="n">
        <v>1250</v>
      </c>
      <c r="R25" s="54" t="n">
        <v>2650</v>
      </c>
      <c r="S25" s="54" t="n">
        <v>640</v>
      </c>
      <c r="T25" s="55">
        <f>ROUND(R25/G25*1000,1)</f>
        <v/>
      </c>
      <c r="U25" s="56" t="inlineStr">
        <is>
          <t>Cooking depth for adjacent-vertical scoring.</t>
        </is>
      </c>
      <c r="V25" s="57" t="inlineStr">
        <is>
          <t>BF</t>
        </is>
      </c>
      <c r="W25" s="57" t="inlineStr">
        <is>
          <t>#7D3C98</t>
        </is>
      </c>
      <c r="X25" s="57" t="inlineStr">
        <is>
          <t>Regional Italian home cooking, one nonna technique at a time.</t>
        </is>
      </c>
      <c r="Y25" s="57" t="inlineStr">
        <is>
          <t>English; Italian</t>
        </is>
      </c>
      <c r="Z25" s="57" t="inlineStr">
        <is>
          <t>Integrated; Dedicated; Short</t>
        </is>
      </c>
      <c r="AA25" s="57" t="n">
        <v>12</v>
      </c>
      <c r="AB25" s="57" t="inlineStr">
        <is>
          <t>Cooking; Cookware</t>
        </is>
      </c>
    </row>
    <row r="26" ht="15" customHeight="1" s="38">
      <c r="A26" s="50" t="inlineStr">
        <is>
          <t>rafael-ortiz</t>
        </is>
      </c>
      <c r="B26" s="50" t="inlineStr">
        <is>
          <t>Rafael Ortiz</t>
        </is>
      </c>
      <c r="C26" s="50" t="inlineStr">
        <is>
          <t>@rafaelasado</t>
        </is>
      </c>
      <c r="D26" s="50" t="inlineStr">
        <is>
          <t>Cooking</t>
        </is>
      </c>
      <c r="E26" s="50" t="inlineStr">
        <is>
          <t>Nano</t>
        </is>
      </c>
      <c r="F26" s="51" t="n">
        <v>5400</v>
      </c>
      <c r="G26" s="51" t="n">
        <v>4000</v>
      </c>
      <c r="H26" s="52" t="n">
        <v>0.121</v>
      </c>
      <c r="I26" s="53">
        <f>G26/F26</f>
        <v/>
      </c>
      <c r="J26" s="50" t="inlineStr">
        <is>
          <t>FALSE</t>
        </is>
      </c>
      <c r="K26" s="50" t="n">
        <v>96</v>
      </c>
      <c r="L26" s="50" t="inlineStr">
        <is>
          <t>25-44</t>
        </is>
      </c>
      <c r="M26" s="50" t="inlineStr">
        <is>
          <t>66% M</t>
        </is>
      </c>
      <c r="N26" s="50" t="inlineStr">
        <is>
          <t>US</t>
        </is>
      </c>
      <c r="O26" s="50" t="inlineStr">
        <is>
          <t>1 / week</t>
        </is>
      </c>
      <c r="P26" s="50" t="n">
        <v>19</v>
      </c>
      <c r="Q26" s="54" t="n">
        <v>190</v>
      </c>
      <c r="R26" s="54" t="n">
        <v>400</v>
      </c>
      <c r="S26" s="54" t="n">
        <v>100</v>
      </c>
      <c r="T26" s="55">
        <f>ROUND(R26/G26*1000,1)</f>
        <v/>
      </c>
      <c r="U26" s="56" t="inlineStr">
        <is>
          <t>Cheap Nano cooking entry point.</t>
        </is>
      </c>
      <c r="V26" s="57" t="inlineStr">
        <is>
          <t>RO</t>
        </is>
      </c>
      <c r="W26" s="57" t="inlineStr">
        <is>
          <t>#A04000</t>
        </is>
      </c>
      <c r="X26" s="57" t="inlineStr">
        <is>
          <t>Live-fire and asado cooking for backyard weekends.</t>
        </is>
      </c>
      <c r="Y26" s="57" t="inlineStr">
        <is>
          <t>English; Spanish</t>
        </is>
      </c>
      <c r="Z26" s="57" t="inlineStr">
        <is>
          <t>Integrated; Short</t>
        </is>
      </c>
      <c r="AA26" s="57" t="n">
        <v>14</v>
      </c>
      <c r="AB26" s="57" t="inlineStr">
        <is>
          <t>Cooking; Grilling Gear</t>
        </is>
      </c>
    </row>
    <row r="27" ht="15" customHeight="1" s="38">
      <c r="A27" s="50" t="inlineStr">
        <is>
          <t>stella-vance</t>
        </is>
      </c>
      <c r="B27" s="50" t="inlineStr">
        <is>
          <t>Stella Vance</t>
        </is>
      </c>
      <c r="C27" s="50" t="inlineStr">
        <is>
          <t>@stellawellco</t>
        </is>
      </c>
      <c r="D27" s="50" t="inlineStr">
        <is>
          <t>Health &amp; Lifestyle</t>
        </is>
      </c>
      <c r="E27" s="50" t="inlineStr">
        <is>
          <t>Micro</t>
        </is>
      </c>
      <c r="F27" s="51" t="n">
        <v>34000</v>
      </c>
      <c r="G27" s="51" t="n">
        <v>17000</v>
      </c>
      <c r="H27" s="52" t="n">
        <v>0.075</v>
      </c>
      <c r="I27" s="53">
        <f>G27/F27</f>
        <v/>
      </c>
      <c r="J27" s="50" t="inlineStr">
        <is>
          <t>TRUE</t>
        </is>
      </c>
      <c r="K27" s="50" t="n">
        <v>97</v>
      </c>
      <c r="L27" s="50" t="inlineStr">
        <is>
          <t>25-34</t>
        </is>
      </c>
      <c r="M27" s="50" t="inlineStr">
        <is>
          <t>74% F</t>
        </is>
      </c>
      <c r="N27" s="50" t="inlineStr">
        <is>
          <t>US</t>
        </is>
      </c>
      <c r="O27" s="50" t="inlineStr">
        <is>
          <t>2 / week</t>
        </is>
      </c>
      <c r="P27" s="50" t="n">
        <v>10</v>
      </c>
      <c r="Q27" s="54" t="n">
        <v>630</v>
      </c>
      <c r="R27" s="54" t="n">
        <v>1330</v>
      </c>
      <c r="S27" s="54" t="n">
        <v>320</v>
      </c>
      <c r="T27" s="55">
        <f>ROUND(R27/G27*1000,1)</f>
        <v/>
      </c>
      <c r="U27" s="56" t="inlineStr">
        <is>
          <t>High-safety wellness, strong female skew.</t>
        </is>
      </c>
      <c r="V27" s="57" t="inlineStr">
        <is>
          <t>SV</t>
        </is>
      </c>
      <c r="W27" s="57" t="inlineStr">
        <is>
          <t>#1ABC9C</t>
        </is>
      </c>
      <c r="X27" s="57" t="inlineStr">
        <is>
          <t>Evidence-first wellness with the hype and the supplements stripped out.</t>
        </is>
      </c>
      <c r="Y27" s="57" t="inlineStr">
        <is>
          <t>English</t>
        </is>
      </c>
      <c r="Z27" s="57" t="inlineStr">
        <is>
          <t>Integrated; Dedicated; Short</t>
        </is>
      </c>
      <c r="AA27" s="57" t="n">
        <v>8</v>
      </c>
      <c r="AB27" s="57" t="inlineStr">
        <is>
          <t>Wellness; Activewear</t>
        </is>
      </c>
    </row>
    <row r="28" ht="15" customHeight="1" s="38">
      <c r="A28" s="50" t="inlineStr">
        <is>
          <t>nikhil-rao</t>
        </is>
      </c>
      <c r="B28" s="50" t="inlineStr">
        <is>
          <t>Nikhil Rao</t>
        </is>
      </c>
      <c r="C28" s="50" t="inlineStr">
        <is>
          <t>@nikhilhabits</t>
        </is>
      </c>
      <c r="D28" s="50" t="inlineStr">
        <is>
          <t>Health &amp; Lifestyle</t>
        </is>
      </c>
      <c r="E28" s="50" t="inlineStr">
        <is>
          <t>Micro</t>
        </is>
      </c>
      <c r="F28" s="51" t="n">
        <v>48000</v>
      </c>
      <c r="G28" s="51" t="n">
        <v>21000</v>
      </c>
      <c r="H28" s="52" t="n">
        <v>0.058</v>
      </c>
      <c r="I28" s="53">
        <f>G28/F28</f>
        <v/>
      </c>
      <c r="J28" s="50" t="inlineStr">
        <is>
          <t>TRUE</t>
        </is>
      </c>
      <c r="K28" s="50" t="n">
        <v>92</v>
      </c>
      <c r="L28" s="50" t="inlineStr">
        <is>
          <t>25-34</t>
        </is>
      </c>
      <c r="M28" s="50" t="inlineStr">
        <is>
          <t>55% M</t>
        </is>
      </c>
      <c r="N28" s="50" t="inlineStr">
        <is>
          <t>US</t>
        </is>
      </c>
      <c r="O28" s="50" t="inlineStr">
        <is>
          <t>1 / week</t>
        </is>
      </c>
      <c r="P28" s="50" t="n">
        <v>13</v>
      </c>
      <c r="Q28" s="54" t="n">
        <v>770</v>
      </c>
      <c r="R28" s="54" t="n">
        <v>1640</v>
      </c>
      <c r="S28" s="54" t="n">
        <v>390</v>
      </c>
      <c r="T28" s="55">
        <f>ROUND(R28/G28*1000,1)</f>
        <v/>
      </c>
      <c r="U28" s="56" t="inlineStr">
        <is>
          <t>Below-benchmark engagement — amber flag demo.</t>
        </is>
      </c>
      <c r="V28" s="57" t="inlineStr">
        <is>
          <t>NR</t>
        </is>
      </c>
      <c r="W28" s="57" t="inlineStr">
        <is>
          <t>#148F77</t>
        </is>
      </c>
      <c r="X28" s="57" t="inlineStr">
        <is>
          <t>Behavior-change and habit systems that survive a busy week.</t>
        </is>
      </c>
      <c r="Y28" s="57" t="inlineStr">
        <is>
          <t>English; Hindi</t>
        </is>
      </c>
      <c r="Z28" s="57" t="inlineStr">
        <is>
          <t>Integrated; Dedicated; Short</t>
        </is>
      </c>
      <c r="AA28" s="57" t="n">
        <v>10</v>
      </c>
      <c r="AB28" s="57" t="inlineStr">
        <is>
          <t>Wellness; Productivity</t>
        </is>
      </c>
    </row>
    <row r="29" ht="15" customHeight="1" s="38">
      <c r="A29" s="50" t="inlineStr">
        <is>
          <t>meera-kapoor</t>
        </is>
      </c>
      <c r="B29" s="50" t="inlineStr">
        <is>
          <t>Meera Kapoor</t>
        </is>
      </c>
      <c r="C29" s="50" t="inlineStr">
        <is>
          <t>@meeramindful</t>
        </is>
      </c>
      <c r="D29" s="50" t="inlineStr">
        <is>
          <t>Health &amp; Lifestyle</t>
        </is>
      </c>
      <c r="E29" s="50" t="inlineStr">
        <is>
          <t>Nano</t>
        </is>
      </c>
      <c r="F29" s="51" t="n">
        <v>7200</v>
      </c>
      <c r="G29" s="51" t="n">
        <v>4000</v>
      </c>
      <c r="H29" s="52" t="n">
        <v>0.113</v>
      </c>
      <c r="I29" s="53">
        <f>G29/F29</f>
        <v/>
      </c>
      <c r="J29" s="50" t="inlineStr">
        <is>
          <t>FALSE</t>
        </is>
      </c>
      <c r="K29" s="50" t="n">
        <v>98</v>
      </c>
      <c r="L29" s="50" t="inlineStr">
        <is>
          <t>25-34</t>
        </is>
      </c>
      <c r="M29" s="50" t="inlineStr">
        <is>
          <t>81% F</t>
        </is>
      </c>
      <c r="N29" s="50" t="inlineStr">
        <is>
          <t>IN</t>
        </is>
      </c>
      <c r="O29" s="50" t="inlineStr">
        <is>
          <t>2 / week</t>
        </is>
      </c>
      <c r="P29" s="50" t="n">
        <v>9</v>
      </c>
      <c r="Q29" s="54" t="n">
        <v>190</v>
      </c>
      <c r="R29" s="54" t="n">
        <v>400</v>
      </c>
      <c r="S29" s="54" t="n">
        <v>100</v>
      </c>
      <c r="T29" s="55">
        <f>ROUND(R29/G29*1000,1)</f>
        <v/>
      </c>
      <c r="U29" s="56" t="inlineStr">
        <is>
          <t>India audience — geo filter; top safety.</t>
        </is>
      </c>
      <c r="V29" s="57" t="inlineStr">
        <is>
          <t>MK</t>
        </is>
      </c>
      <c r="W29" s="57" t="inlineStr">
        <is>
          <t>#0E6655</t>
        </is>
      </c>
      <c r="X29" s="57" t="inlineStr">
        <is>
          <t>Ten-minute mobility and breathwork for desk workers.</t>
        </is>
      </c>
      <c r="Y29" s="57" t="inlineStr">
        <is>
          <t>English; Hindi</t>
        </is>
      </c>
      <c r="Z29" s="57" t="inlineStr">
        <is>
          <t>Integrated; Short</t>
        </is>
      </c>
      <c r="AA29" s="57" t="n">
        <v>7</v>
      </c>
      <c r="AB29" s="57" t="inlineStr">
        <is>
          <t>Wellness; Apparel</t>
        </is>
      </c>
    </row>
    <row r="30" ht="15" customHeight="1" s="38">
      <c r="A30" s="50" t="inlineStr">
        <is>
          <t>grace-adeyemi</t>
        </is>
      </c>
      <c r="B30" s="50" t="inlineStr">
        <is>
          <t>Grace Adeyemi</t>
        </is>
      </c>
      <c r="C30" s="50" t="inlineStr">
        <is>
          <t>@gracewithkids</t>
        </is>
      </c>
      <c r="D30" s="50" t="inlineStr">
        <is>
          <t>Parenting &amp; Family</t>
        </is>
      </c>
      <c r="E30" s="50" t="inlineStr">
        <is>
          <t>Micro</t>
        </is>
      </c>
      <c r="F30" s="51" t="n">
        <v>41000</v>
      </c>
      <c r="G30" s="51" t="n">
        <v>20000</v>
      </c>
      <c r="H30" s="52" t="n">
        <v>0.07099999999999999</v>
      </c>
      <c r="I30" s="53">
        <f>G30/F30</f>
        <v/>
      </c>
      <c r="J30" s="50" t="inlineStr">
        <is>
          <t>TRUE</t>
        </is>
      </c>
      <c r="K30" s="50" t="n">
        <v>96</v>
      </c>
      <c r="L30" s="50" t="inlineStr">
        <is>
          <t>30-44</t>
        </is>
      </c>
      <c r="M30" s="50" t="inlineStr">
        <is>
          <t>83% F</t>
        </is>
      </c>
      <c r="N30" s="50" t="inlineStr">
        <is>
          <t>US</t>
        </is>
      </c>
      <c r="O30" s="50" t="inlineStr">
        <is>
          <t>2 / week</t>
        </is>
      </c>
      <c r="P30" s="50" t="n">
        <v>12</v>
      </c>
      <c r="Q30" s="54" t="n">
        <v>730</v>
      </c>
      <c r="R30" s="54" t="n">
        <v>1560</v>
      </c>
      <c r="S30" s="54" t="n">
        <v>370</v>
      </c>
      <c r="T30" s="55">
        <f>ROUND(R30/G30*1000,1)</f>
        <v/>
      </c>
      <c r="U30" s="56" t="inlineStr">
        <is>
          <t>Parenting depth; 30-44 age band.</t>
        </is>
      </c>
      <c r="V30" s="57" t="inlineStr">
        <is>
          <t>GA</t>
        </is>
      </c>
      <c r="W30" s="57" t="inlineStr">
        <is>
          <t>#C0392B</t>
        </is>
      </c>
      <c r="X30" s="57" t="inlineStr">
        <is>
          <t>Weeknight family logistics: meals, routines and mess, done honestly.</t>
        </is>
      </c>
      <c r="Y30" s="57" t="inlineStr">
        <is>
          <t>English</t>
        </is>
      </c>
      <c r="Z30" s="57" t="inlineStr">
        <is>
          <t>Integrated; Dedicated; Short</t>
        </is>
      </c>
      <c r="AA30" s="57" t="n">
        <v>11</v>
      </c>
      <c r="AB30" s="57" t="inlineStr">
        <is>
          <t>Parenting &amp; Family; Grocery</t>
        </is>
      </c>
    </row>
    <row r="31" ht="15" customHeight="1" s="38">
      <c r="A31" s="50" t="inlineStr">
        <is>
          <t>owen-park</t>
        </is>
      </c>
      <c r="B31" s="50" t="inlineStr">
        <is>
          <t>Owen Park</t>
        </is>
      </c>
      <c r="C31" s="50" t="inlineStr">
        <is>
          <t>@owendadmode</t>
        </is>
      </c>
      <c r="D31" s="50" t="inlineStr">
        <is>
          <t>Parenting &amp; Family</t>
        </is>
      </c>
      <c r="E31" s="50" t="inlineStr">
        <is>
          <t>Nano</t>
        </is>
      </c>
      <c r="F31" s="51" t="n">
        <v>6100</v>
      </c>
      <c r="G31" s="51" t="n">
        <v>4000</v>
      </c>
      <c r="H31" s="52" t="n">
        <v>0.104</v>
      </c>
      <c r="I31" s="53">
        <f>G31/F31</f>
        <v/>
      </c>
      <c r="J31" s="50" t="inlineStr">
        <is>
          <t>FALSE</t>
        </is>
      </c>
      <c r="K31" s="50" t="n">
        <v>94</v>
      </c>
      <c r="L31" s="50" t="inlineStr">
        <is>
          <t>30-44</t>
        </is>
      </c>
      <c r="M31" s="50" t="inlineStr">
        <is>
          <t>51% M</t>
        </is>
      </c>
      <c r="N31" s="50" t="inlineStr">
        <is>
          <t>CA</t>
        </is>
      </c>
      <c r="O31" s="50" t="inlineStr">
        <is>
          <t>1 / week</t>
        </is>
      </c>
      <c r="P31" s="50" t="n">
        <v>15</v>
      </c>
      <c r="Q31" s="54" t="n">
        <v>190</v>
      </c>
      <c r="R31" s="54" t="n">
        <v>400</v>
      </c>
      <c r="S31" s="54" t="n">
        <v>100</v>
      </c>
      <c r="T31" s="55">
        <f>ROUND(R31/G31*1000,1)</f>
        <v/>
      </c>
      <c r="U31" s="56" t="inlineStr">
        <is>
          <t>Canada, unverified dad-niche.</t>
        </is>
      </c>
      <c r="V31" s="57" t="inlineStr">
        <is>
          <t>OP</t>
        </is>
      </c>
      <c r="W31" s="57" t="inlineStr">
        <is>
          <t>#5D6D7E</t>
        </is>
      </c>
      <c r="X31" s="57" t="inlineStr">
        <is>
          <t>A dad figuring out gear, snacks and screen-time in real time.</t>
        </is>
      </c>
      <c r="Y31" s="57" t="inlineStr">
        <is>
          <t>English</t>
        </is>
      </c>
      <c r="Z31" s="57" t="inlineStr">
        <is>
          <t>Integrated; Short</t>
        </is>
      </c>
      <c r="AA31" s="57" t="n">
        <v>9</v>
      </c>
      <c r="AB31" s="57" t="inlineStr">
        <is>
          <t>Parenting &amp; Family; Kids Gear</t>
        </is>
      </c>
    </row>
    <row r="32">
      <c r="A32" s="50" t="inlineStr">
        <is>
          <t>tara-nguyen</t>
        </is>
      </c>
      <c r="B32" s="50" t="inlineStr">
        <is>
          <t>Tara Nguyen</t>
        </is>
      </c>
      <c r="C32" s="50" t="inlineStr">
        <is>
          <t>@taramoves</t>
        </is>
      </c>
      <c r="D32" s="50" t="inlineStr">
        <is>
          <t>Fitness</t>
        </is>
      </c>
      <c r="E32" s="50" t="inlineStr">
        <is>
          <t>Micro</t>
        </is>
      </c>
      <c r="F32" s="51" t="n">
        <v>56000</v>
      </c>
      <c r="G32" s="51" t="n">
        <v>27000</v>
      </c>
      <c r="H32" s="52" t="n">
        <v>0.068</v>
      </c>
      <c r="I32" s="53">
        <f>G32/F32</f>
        <v/>
      </c>
      <c r="J32" s="50" t="inlineStr">
        <is>
          <t>TRUE</t>
        </is>
      </c>
      <c r="K32" s="50" t="n">
        <v>93</v>
      </c>
      <c r="L32" s="50" t="inlineStr">
        <is>
          <t>18-34</t>
        </is>
      </c>
      <c r="M32" s="50" t="inlineStr">
        <is>
          <t>62% F</t>
        </is>
      </c>
      <c r="N32" s="50" t="inlineStr">
        <is>
          <t>US</t>
        </is>
      </c>
      <c r="O32" s="50" t="inlineStr">
        <is>
          <t>3 / week</t>
        </is>
      </c>
      <c r="P32" s="50" t="n">
        <v>8</v>
      </c>
      <c r="Q32" s="54" t="n">
        <v>990</v>
      </c>
      <c r="R32" s="54" t="n">
        <v>2110</v>
      </c>
      <c r="S32" s="54" t="n">
        <v>510</v>
      </c>
      <c r="T32" s="55">
        <f>ROUND(R32/G32*1000,1)</f>
        <v/>
      </c>
      <c r="U32" s="56" t="inlineStr">
        <is>
          <t>Frequent uploader, fitness Micro.</t>
        </is>
      </c>
      <c r="V32" s="57" t="inlineStr">
        <is>
          <t>TN</t>
        </is>
      </c>
      <c r="W32" s="57" t="inlineStr">
        <is>
          <t>#16A085</t>
        </is>
      </c>
      <c r="X32" s="57" t="inlineStr">
        <is>
          <t>Beginner strength that meets people where they actually are.</t>
        </is>
      </c>
      <c r="Y32" s="57" t="inlineStr">
        <is>
          <t>English; Vietnamese</t>
        </is>
      </c>
      <c r="Z32" s="57" t="inlineStr">
        <is>
          <t>Integrated; Dedicated; Short</t>
        </is>
      </c>
      <c r="AA32" s="57" t="n">
        <v>7</v>
      </c>
      <c r="AB32" s="57" t="inlineStr">
        <is>
          <t>Fitness; Activewear</t>
        </is>
      </c>
    </row>
    <row r="33">
      <c r="A33" s="50" t="inlineStr">
        <is>
          <t>dominic-pratt</t>
        </is>
      </c>
      <c r="B33" s="50" t="inlineStr">
        <is>
          <t>Dominic Pratt</t>
        </is>
      </c>
      <c r="C33" s="50" t="inlineStr">
        <is>
          <t>@dompratttraining</t>
        </is>
      </c>
      <c r="D33" s="50" t="inlineStr">
        <is>
          <t>Fitness</t>
        </is>
      </c>
      <c r="E33" s="50" t="inlineStr">
        <is>
          <t>Mid-tier</t>
        </is>
      </c>
      <c r="F33" s="51" t="n">
        <v>158736</v>
      </c>
      <c r="G33" s="51" t="n">
        <v>65000</v>
      </c>
      <c r="H33" s="52" t="n">
        <v>0.047</v>
      </c>
      <c r="I33" s="53">
        <f>G33/F33</f>
        <v/>
      </c>
      <c r="J33" s="50" t="inlineStr">
        <is>
          <t>TRUE</t>
        </is>
      </c>
      <c r="K33" s="50" t="n">
        <v>88</v>
      </c>
      <c r="L33" s="50" t="inlineStr">
        <is>
          <t>25-44</t>
        </is>
      </c>
      <c r="M33" s="50" t="inlineStr">
        <is>
          <t>69% M</t>
        </is>
      </c>
      <c r="N33" s="50" t="inlineStr">
        <is>
          <t>US</t>
        </is>
      </c>
      <c r="O33" s="50" t="inlineStr">
        <is>
          <t>2 / week</t>
        </is>
      </c>
      <c r="P33" s="50" t="n">
        <v>14</v>
      </c>
      <c r="Q33" s="54" t="n">
        <v>1980</v>
      </c>
      <c r="R33" s="54" t="n">
        <v>4220</v>
      </c>
      <c r="S33" s="54" t="n">
        <v>1010</v>
      </c>
      <c r="T33" s="55">
        <f>ROUND(R33/G33*1000,1)</f>
        <v/>
      </c>
      <c r="U33" s="56" t="inlineStr">
        <is>
          <t>Mid-tier fitness; amber safety 88.</t>
        </is>
      </c>
      <c r="V33" s="57" t="inlineStr">
        <is>
          <t>DP</t>
        </is>
      </c>
      <c r="W33" s="57" t="inlineStr">
        <is>
          <t>#2C3E50</t>
        </is>
      </c>
      <c r="X33" s="57" t="inlineStr">
        <is>
          <t>Programming and progressive overload explained without the bro-science.</t>
        </is>
      </c>
      <c r="Y33" s="57" t="inlineStr">
        <is>
          <t>English</t>
        </is>
      </c>
      <c r="Z33" s="57" t="inlineStr">
        <is>
          <t>Integrated; Dedicated; Short</t>
        </is>
      </c>
      <c r="AA33" s="57" t="n">
        <v>14</v>
      </c>
      <c r="AB33" s="57" t="inlineStr">
        <is>
          <t>Fitness; Supplements</t>
        </is>
      </c>
    </row>
    <row r="34">
      <c r="A34" s="50" t="inlineStr">
        <is>
          <t>freya-lund</t>
        </is>
      </c>
      <c r="B34" s="50" t="inlineStr">
        <is>
          <t>Freya Lund</t>
        </is>
      </c>
      <c r="C34" s="50" t="inlineStr">
        <is>
          <t>@freyaruns</t>
        </is>
      </c>
      <c r="D34" s="50" t="inlineStr">
        <is>
          <t>Fitness</t>
        </is>
      </c>
      <c r="E34" s="50" t="inlineStr">
        <is>
          <t>Nano</t>
        </is>
      </c>
      <c r="F34" s="51" t="n">
        <v>9400</v>
      </c>
      <c r="G34" s="51" t="n">
        <v>5000</v>
      </c>
      <c r="H34" s="52" t="n">
        <v>0.099</v>
      </c>
      <c r="I34" s="53">
        <f>G34/F34</f>
        <v/>
      </c>
      <c r="J34" s="50" t="inlineStr">
        <is>
          <t>FALSE</t>
        </is>
      </c>
      <c r="K34" s="50" t="n">
        <v>95</v>
      </c>
      <c r="L34" s="50" t="inlineStr">
        <is>
          <t>18-34</t>
        </is>
      </c>
      <c r="M34" s="50" t="inlineStr">
        <is>
          <t>58% F</t>
        </is>
      </c>
      <c r="N34" s="50" t="inlineStr">
        <is>
          <t>NO</t>
        </is>
      </c>
      <c r="O34" s="50" t="inlineStr">
        <is>
          <t>2 / week</t>
        </is>
      </c>
      <c r="P34" s="50" t="n">
        <v>10</v>
      </c>
      <c r="Q34" s="54" t="n">
        <v>240</v>
      </c>
      <c r="R34" s="54" t="n">
        <v>500</v>
      </c>
      <c r="S34" s="54" t="n">
        <v>120</v>
      </c>
      <c r="T34" s="55">
        <f>ROUND(R34/G34*1000,1)</f>
        <v/>
      </c>
      <c r="U34" s="56" t="inlineStr">
        <is>
          <t>Just under 10K — tier-boundary test; Norway.</t>
        </is>
      </c>
      <c r="V34" s="57" t="inlineStr">
        <is>
          <t>FL</t>
        </is>
      </c>
      <c r="W34" s="57" t="inlineStr">
        <is>
          <t>#117A65</t>
        </is>
      </c>
      <c r="X34" s="57" t="inlineStr">
        <is>
          <t>Running and recovery from a Nordic winter perspective.</t>
        </is>
      </c>
      <c r="Y34" s="57" t="inlineStr">
        <is>
          <t>English; Norwegian</t>
        </is>
      </c>
      <c r="Z34" s="57" t="inlineStr">
        <is>
          <t>Integrated; Dedicated; Short</t>
        </is>
      </c>
      <c r="AA34" s="57" t="n">
        <v>8</v>
      </c>
      <c r="AB34" s="57" t="inlineStr">
        <is>
          <t>Fitness; Running Gear</t>
        </is>
      </c>
    </row>
    <row r="35">
      <c r="A35" s="50" t="inlineStr">
        <is>
          <t>naomi-fletcher</t>
        </is>
      </c>
      <c r="B35" s="50" t="inlineStr">
        <is>
          <t>Naomi Fletcher</t>
        </is>
      </c>
      <c r="C35" s="50" t="inlineStr">
        <is>
          <t>@naomiglow</t>
        </is>
      </c>
      <c r="D35" s="50" t="inlineStr">
        <is>
          <t>Beauty &amp; Skincare</t>
        </is>
      </c>
      <c r="E35" s="50" t="inlineStr">
        <is>
          <t>Micro</t>
        </is>
      </c>
      <c r="F35" s="51" t="n">
        <v>52000</v>
      </c>
      <c r="G35" s="51" t="n">
        <v>24000</v>
      </c>
      <c r="H35" s="52" t="n">
        <v>0.064</v>
      </c>
      <c r="I35" s="53">
        <f>G35/F35</f>
        <v/>
      </c>
      <c r="J35" s="50" t="inlineStr">
        <is>
          <t>TRUE</t>
        </is>
      </c>
      <c r="K35" s="50" t="n">
        <v>94</v>
      </c>
      <c r="L35" s="50" t="inlineStr">
        <is>
          <t>18-34</t>
        </is>
      </c>
      <c r="M35" s="50" t="inlineStr">
        <is>
          <t>86% F</t>
        </is>
      </c>
      <c r="N35" s="50" t="inlineStr">
        <is>
          <t>US</t>
        </is>
      </c>
      <c r="O35" s="50" t="inlineStr">
        <is>
          <t>2 / week</t>
        </is>
      </c>
      <c r="P35" s="50" t="n">
        <v>11</v>
      </c>
      <c r="Q35" s="54" t="n">
        <v>880</v>
      </c>
      <c r="R35" s="54" t="n">
        <v>1870</v>
      </c>
      <c r="S35" s="54" t="n">
        <v>450</v>
      </c>
      <c r="T35" s="55">
        <f>ROUND(R35/G35*1000,1)</f>
        <v/>
      </c>
      <c r="U35" s="56" t="inlineStr">
        <is>
          <t>Beauty depth, high female skew.</t>
        </is>
      </c>
      <c r="V35" s="57" t="inlineStr">
        <is>
          <t>NF</t>
        </is>
      </c>
      <c r="W35" s="57" t="inlineStr">
        <is>
          <t>#D35D8B</t>
        </is>
      </c>
      <c r="X35" s="57" t="inlineStr">
        <is>
          <t>Ingredient-led skincare that reads the label so you don't have to.</t>
        </is>
      </c>
      <c r="Y35" s="57" t="inlineStr">
        <is>
          <t>English</t>
        </is>
      </c>
      <c r="Z35" s="57" t="inlineStr">
        <is>
          <t>Integrated; Dedicated; Short</t>
        </is>
      </c>
      <c r="AA35" s="57" t="n">
        <v>10</v>
      </c>
      <c r="AB35" s="57" t="inlineStr">
        <is>
          <t>Beauty &amp; Skincare; Cosmetics</t>
        </is>
      </c>
    </row>
    <row r="36">
      <c r="A36" s="50" t="inlineStr">
        <is>
          <t>camila-santos</t>
        </is>
      </c>
      <c r="B36" s="50" t="inlineStr">
        <is>
          <t>Camila Santos</t>
        </is>
      </c>
      <c r="C36" s="50" t="inlineStr">
        <is>
          <t>@camilaskinbr</t>
        </is>
      </c>
      <c r="D36" s="50" t="inlineStr">
        <is>
          <t>Beauty &amp; Skincare</t>
        </is>
      </c>
      <c r="E36" s="50" t="inlineStr">
        <is>
          <t>Nano</t>
        </is>
      </c>
      <c r="F36" s="51" t="n">
        <v>8200</v>
      </c>
      <c r="G36" s="51" t="n">
        <v>5000</v>
      </c>
      <c r="H36" s="52" t="n">
        <v>0.116</v>
      </c>
      <c r="I36" s="53">
        <f>G36/F36</f>
        <v/>
      </c>
      <c r="J36" s="50" t="inlineStr">
        <is>
          <t>FALSE</t>
        </is>
      </c>
      <c r="K36" s="50" t="n">
        <v>96</v>
      </c>
      <c r="L36" s="50" t="inlineStr">
        <is>
          <t>18-34</t>
        </is>
      </c>
      <c r="M36" s="50" t="inlineStr">
        <is>
          <t>84% F</t>
        </is>
      </c>
      <c r="N36" s="50" t="inlineStr">
        <is>
          <t>BR</t>
        </is>
      </c>
      <c r="O36" s="50" t="inlineStr">
        <is>
          <t>2 / week</t>
        </is>
      </c>
      <c r="P36" s="50" t="n">
        <v>9</v>
      </c>
      <c r="Q36" s="54" t="n">
        <v>240</v>
      </c>
      <c r="R36" s="54" t="n">
        <v>500</v>
      </c>
      <c r="S36" s="54" t="n">
        <v>120</v>
      </c>
      <c r="T36" s="55">
        <f>ROUND(R36/G36*1000,1)</f>
        <v/>
      </c>
      <c r="U36" s="56" t="inlineStr">
        <is>
          <t>Brazil / Portuguese — language + geo.</t>
        </is>
      </c>
      <c r="V36" s="57" t="inlineStr">
        <is>
          <t>CS</t>
        </is>
      </c>
      <c r="W36" s="57" t="inlineStr">
        <is>
          <t>#C2407A</t>
        </is>
      </c>
      <c r="X36" s="57" t="inlineStr">
        <is>
          <t>Affordable skincare routines for humid climates.</t>
        </is>
      </c>
      <c r="Y36" s="57" t="inlineStr">
        <is>
          <t>Portuguese; English</t>
        </is>
      </c>
      <c r="Z36" s="57" t="inlineStr">
        <is>
          <t>Integrated; Dedicated; Short</t>
        </is>
      </c>
      <c r="AA36" s="57" t="n">
        <v>7</v>
      </c>
      <c r="AB36" s="57" t="inlineStr">
        <is>
          <t>Beauty &amp; Skincare; Cosmetics</t>
        </is>
      </c>
    </row>
    <row r="37">
      <c r="A37" s="50" t="inlineStr">
        <is>
          <t>zoe-bennett</t>
        </is>
      </c>
      <c r="B37" s="50" t="inlineStr">
        <is>
          <t>Zoe Bennett</t>
        </is>
      </c>
      <c r="C37" s="50" t="inlineStr">
        <is>
          <t>@zoecapsule</t>
        </is>
      </c>
      <c r="D37" s="50" t="inlineStr">
        <is>
          <t>Fashion &amp; Beauty</t>
        </is>
      </c>
      <c r="E37" s="50" t="inlineStr">
        <is>
          <t>Micro</t>
        </is>
      </c>
      <c r="F37" s="51" t="n">
        <v>44000</v>
      </c>
      <c r="G37" s="51" t="n">
        <v>21000</v>
      </c>
      <c r="H37" s="52" t="n">
        <v>0.067</v>
      </c>
      <c r="I37" s="53">
        <f>G37/F37</f>
        <v/>
      </c>
      <c r="J37" s="50" t="inlineStr">
        <is>
          <t>TRUE</t>
        </is>
      </c>
      <c r="K37" s="50" t="n">
        <v>92</v>
      </c>
      <c r="L37" s="50" t="inlineStr">
        <is>
          <t>18-34</t>
        </is>
      </c>
      <c r="M37" s="50" t="inlineStr">
        <is>
          <t>85% F</t>
        </is>
      </c>
      <c r="N37" s="50" t="inlineStr">
        <is>
          <t>UK</t>
        </is>
      </c>
      <c r="O37" s="50" t="inlineStr">
        <is>
          <t>2 / week</t>
        </is>
      </c>
      <c r="P37" s="50" t="n">
        <v>10</v>
      </c>
      <c r="Q37" s="54" t="n">
        <v>770</v>
      </c>
      <c r="R37" s="54" t="n">
        <v>1640</v>
      </c>
      <c r="S37" s="54" t="n">
        <v>390</v>
      </c>
      <c r="T37" s="55">
        <f>ROUND(R37/G37*1000,1)</f>
        <v/>
      </c>
      <c r="U37" s="56" t="inlineStr">
        <is>
          <t>UK fashion Micro.</t>
        </is>
      </c>
      <c r="V37" s="57" t="inlineStr">
        <is>
          <t>ZB</t>
        </is>
      </c>
      <c r="W37" s="57" t="inlineStr">
        <is>
          <t>#9B2D8B</t>
        </is>
      </c>
      <c r="X37" s="57" t="inlineStr">
        <is>
          <t>Capsule wardrobes and secondhand styling on a real budget.</t>
        </is>
      </c>
      <c r="Y37" s="57" t="inlineStr">
        <is>
          <t>English</t>
        </is>
      </c>
      <c r="Z37" s="57" t="inlineStr">
        <is>
          <t>Integrated; Dedicated; Short</t>
        </is>
      </c>
      <c r="AA37" s="57" t="n">
        <v>10</v>
      </c>
      <c r="AB37" s="57" t="inlineStr">
        <is>
          <t>Apparel; Resale Platforms</t>
        </is>
      </c>
    </row>
    <row r="38">
      <c r="A38" s="50" t="inlineStr">
        <is>
          <t>ingrid-halvorsen</t>
        </is>
      </c>
      <c r="B38" s="50" t="inlineStr">
        <is>
          <t>Ingrid Halvorsen</t>
        </is>
      </c>
      <c r="C38" s="50" t="inlineStr">
        <is>
          <t>@ingridstyle</t>
        </is>
      </c>
      <c r="D38" s="50" t="inlineStr">
        <is>
          <t>Fashion &amp; Beauty</t>
        </is>
      </c>
      <c r="E38" s="50" t="inlineStr">
        <is>
          <t>Mid-tier</t>
        </is>
      </c>
      <c r="F38" s="51" t="n">
        <v>150580</v>
      </c>
      <c r="G38" s="51" t="n">
        <v>57000</v>
      </c>
      <c r="H38" s="52" t="n">
        <v>0.048</v>
      </c>
      <c r="I38" s="53">
        <f>G38/F38</f>
        <v/>
      </c>
      <c r="J38" s="50" t="inlineStr">
        <is>
          <t>TRUE</t>
        </is>
      </c>
      <c r="K38" s="50" t="n">
        <v>90</v>
      </c>
      <c r="L38" s="50" t="inlineStr">
        <is>
          <t>25-44</t>
        </is>
      </c>
      <c r="M38" s="50" t="inlineStr">
        <is>
          <t>80% F</t>
        </is>
      </c>
      <c r="N38" s="50" t="inlineStr">
        <is>
          <t>US</t>
        </is>
      </c>
      <c r="O38" s="50" t="inlineStr">
        <is>
          <t>1 / week</t>
        </is>
      </c>
      <c r="P38" s="50" t="n">
        <v>13</v>
      </c>
      <c r="Q38" s="54" t="n">
        <v>1740</v>
      </c>
      <c r="R38" s="54" t="n">
        <v>3700</v>
      </c>
      <c r="S38" s="54" t="n">
        <v>890</v>
      </c>
      <c r="T38" s="55">
        <f>ROUND(R38/G38*1000,1)</f>
        <v/>
      </c>
      <c r="U38" s="56" t="inlineStr">
        <is>
          <t>Mid-tier fashion, larger reach.</t>
        </is>
      </c>
      <c r="V38" s="57" t="inlineStr">
        <is>
          <t>IH</t>
        </is>
      </c>
      <c r="W38" s="57" t="inlineStr">
        <is>
          <t>#7D3C98</t>
        </is>
      </c>
      <c r="X38" s="57" t="inlineStr">
        <is>
          <t>Quiet-luxury basics and cost-per-wear math.</t>
        </is>
      </c>
      <c r="Y38" s="57" t="inlineStr">
        <is>
          <t>English</t>
        </is>
      </c>
      <c r="Z38" s="57" t="inlineStr">
        <is>
          <t>Integrated; Dedicated; Short</t>
        </is>
      </c>
      <c r="AA38" s="57" t="n">
        <v>14</v>
      </c>
      <c r="AB38" s="57" t="inlineStr">
        <is>
          <t>Apparel; Footwear</t>
        </is>
      </c>
    </row>
    <row r="39">
      <c r="A39" s="50" t="inlineStr">
        <is>
          <t>colin-hayes</t>
        </is>
      </c>
      <c r="B39" s="50" t="inlineStr">
        <is>
          <t>Colin Hayes</t>
        </is>
      </c>
      <c r="C39" s="50" t="inlineStr">
        <is>
          <t>@colintrailtested</t>
        </is>
      </c>
      <c r="D39" s="50" t="inlineStr">
        <is>
          <t>Outdoor &amp; Gear</t>
        </is>
      </c>
      <c r="E39" s="50" t="inlineStr">
        <is>
          <t>Micro</t>
        </is>
      </c>
      <c r="F39" s="51" t="n">
        <v>63000</v>
      </c>
      <c r="G39" s="51" t="n">
        <v>32000</v>
      </c>
      <c r="H39" s="52" t="n">
        <v>0.078</v>
      </c>
      <c r="I39" s="53">
        <f>G39/F39</f>
        <v/>
      </c>
      <c r="J39" s="50" t="inlineStr">
        <is>
          <t>TRUE</t>
        </is>
      </c>
      <c r="K39" s="50" t="n">
        <v>95</v>
      </c>
      <c r="L39" s="50" t="inlineStr">
        <is>
          <t>25-44</t>
        </is>
      </c>
      <c r="M39" s="50" t="inlineStr">
        <is>
          <t>71% M</t>
        </is>
      </c>
      <c r="N39" s="50" t="inlineStr">
        <is>
          <t>US</t>
        </is>
      </c>
      <c r="O39" s="50" t="inlineStr">
        <is>
          <t>1 / week</t>
        </is>
      </c>
      <c r="P39" s="50" t="n">
        <v>18</v>
      </c>
      <c r="Q39" s="54" t="n">
        <v>1180</v>
      </c>
      <c r="R39" s="54" t="n">
        <v>2500</v>
      </c>
      <c r="S39" s="54" t="n">
        <v>600</v>
      </c>
      <c r="T39" s="55">
        <f>ROUND(R39/G39*1000,1)</f>
        <v/>
      </c>
      <c r="U39" s="56" t="inlineStr">
        <is>
          <t>Outdoor Micro, loyal audience.</t>
        </is>
      </c>
      <c r="V39" s="57" t="inlineStr">
        <is>
          <t>CH</t>
        </is>
      </c>
      <c r="W39" s="57" t="inlineStr">
        <is>
          <t>#1F618D</t>
        </is>
      </c>
      <c r="X39" s="57" t="inlineStr">
        <is>
          <t>Backpacking gear tested over real miles, not a driveway.</t>
        </is>
      </c>
      <c r="Y39" s="57" t="inlineStr">
        <is>
          <t>English</t>
        </is>
      </c>
      <c r="Z39" s="57" t="inlineStr">
        <is>
          <t>Integrated; Dedicated; Short</t>
        </is>
      </c>
      <c r="AA39" s="57" t="n">
        <v>21</v>
      </c>
      <c r="AB39" s="57" t="inlineStr">
        <is>
          <t>Outdoor Gear; Footwear</t>
        </is>
      </c>
    </row>
    <row r="40">
      <c r="A40" s="50" t="inlineStr">
        <is>
          <t>felix-berger</t>
        </is>
      </c>
      <c r="B40" s="50" t="inlineStr">
        <is>
          <t>Felix Berger</t>
        </is>
      </c>
      <c r="C40" s="50" t="inlineStr">
        <is>
          <t>@felixaufberg</t>
        </is>
      </c>
      <c r="D40" s="50" t="inlineStr">
        <is>
          <t>Outdoor &amp; Gear</t>
        </is>
      </c>
      <c r="E40" s="50" t="inlineStr">
        <is>
          <t>Nano</t>
        </is>
      </c>
      <c r="F40" s="51" t="n">
        <v>7600</v>
      </c>
      <c r="G40" s="51" t="n">
        <v>5000</v>
      </c>
      <c r="H40" s="52" t="n">
        <v>0.101</v>
      </c>
      <c r="I40" s="53">
        <f>G40/F40</f>
        <v/>
      </c>
      <c r="J40" s="50" t="inlineStr">
        <is>
          <t>FALSE</t>
        </is>
      </c>
      <c r="K40" s="50" t="n">
        <v>93</v>
      </c>
      <c r="L40" s="50" t="inlineStr">
        <is>
          <t>25-44</t>
        </is>
      </c>
      <c r="M40" s="50" t="inlineStr">
        <is>
          <t>74% M</t>
        </is>
      </c>
      <c r="N40" s="50" t="inlineStr">
        <is>
          <t>DE</t>
        </is>
      </c>
      <c r="O40" s="50" t="inlineStr">
        <is>
          <t>1 / week</t>
        </is>
      </c>
      <c r="P40" s="50" t="n">
        <v>16</v>
      </c>
      <c r="Q40" s="54" t="n">
        <v>240</v>
      </c>
      <c r="R40" s="54" t="n">
        <v>500</v>
      </c>
      <c r="S40" s="54" t="n">
        <v>120</v>
      </c>
      <c r="T40" s="55">
        <f>ROUND(R40/G40*1000,1)</f>
        <v/>
      </c>
      <c r="U40" s="56" t="inlineStr">
        <is>
          <t>Germany / German — geo + language.</t>
        </is>
      </c>
      <c r="V40" s="57" t="inlineStr">
        <is>
          <t>FB</t>
        </is>
      </c>
      <c r="W40" s="57" t="inlineStr">
        <is>
          <t>#2874A6</t>
        </is>
      </c>
      <c r="X40" s="57" t="inlineStr">
        <is>
          <t>Alpine hiking and ultralight setups from the Bavarian Alps.</t>
        </is>
      </c>
      <c r="Y40" s="57" t="inlineStr">
        <is>
          <t>German; English</t>
        </is>
      </c>
      <c r="Z40" s="57" t="inlineStr">
        <is>
          <t>Integrated; Dedicated; Short</t>
        </is>
      </c>
      <c r="AA40" s="57" t="n">
        <v>14</v>
      </c>
      <c r="AB40" s="57" t="inlineStr">
        <is>
          <t>Outdoor Gear; Apparel</t>
        </is>
      </c>
    </row>
    <row r="41">
      <c r="A41" s="50" t="inlineStr">
        <is>
          <t>wei-lin</t>
        </is>
      </c>
      <c r="B41" s="50" t="inlineStr">
        <is>
          <t>Wei Lin</t>
        </is>
      </c>
      <c r="C41" s="50" t="inlineStr">
        <is>
          <t>@weitechbench</t>
        </is>
      </c>
      <c r="D41" s="50" t="inlineStr">
        <is>
          <t>Tech Reviews</t>
        </is>
      </c>
      <c r="E41" s="50" t="inlineStr">
        <is>
          <t>Micro</t>
        </is>
      </c>
      <c r="F41" s="51" t="n">
        <v>88000</v>
      </c>
      <c r="G41" s="51" t="n">
        <v>43000</v>
      </c>
      <c r="H41" s="52" t="n">
        <v>0.061</v>
      </c>
      <c r="I41" s="53">
        <f>G41/F41</f>
        <v/>
      </c>
      <c r="J41" s="50" t="inlineStr">
        <is>
          <t>TRUE</t>
        </is>
      </c>
      <c r="K41" s="50" t="n">
        <v>91</v>
      </c>
      <c r="L41" s="50" t="inlineStr">
        <is>
          <t>18-34</t>
        </is>
      </c>
      <c r="M41" s="50" t="inlineStr">
        <is>
          <t>70% M</t>
        </is>
      </c>
      <c r="N41" s="50" t="inlineStr">
        <is>
          <t>US</t>
        </is>
      </c>
      <c r="O41" s="50" t="inlineStr">
        <is>
          <t>2 / week</t>
        </is>
      </c>
      <c r="P41" s="50" t="n">
        <v>15</v>
      </c>
      <c r="Q41" s="54" t="n">
        <v>1570</v>
      </c>
      <c r="R41" s="54" t="n">
        <v>3350</v>
      </c>
      <c r="S41" s="54" t="n">
        <v>800</v>
      </c>
      <c r="T41" s="55">
        <f>ROUND(R41/G41*1000,1)</f>
        <v/>
      </c>
      <c r="U41" s="56" t="inlineStr">
        <is>
          <t>Upper-Micro tech, near tier boundary.</t>
        </is>
      </c>
      <c r="V41" s="57" t="inlineStr">
        <is>
          <t>WL</t>
        </is>
      </c>
      <c r="W41" s="57" t="inlineStr">
        <is>
          <t>#34495E</t>
        </is>
      </c>
      <c r="X41" s="57" t="inlineStr">
        <is>
          <t>Component-level reviews with the benchmarks nobody else runs.</t>
        </is>
      </c>
      <c r="Y41" s="57" t="inlineStr">
        <is>
          <t>English; Mandarin</t>
        </is>
      </c>
      <c r="Z41" s="57" t="inlineStr">
        <is>
          <t>Integrated; Dedicated; Short</t>
        </is>
      </c>
      <c r="AA41" s="57" t="n">
        <v>12</v>
      </c>
      <c r="AB41" s="57" t="inlineStr">
        <is>
          <t>Consumer Electronics; Accessories</t>
        </is>
      </c>
    </row>
    <row r="42">
      <c r="A42" s="50" t="inlineStr">
        <is>
          <t>hassan-ali</t>
        </is>
      </c>
      <c r="B42" s="50" t="inlineStr">
        <is>
          <t>Hassan Ali</t>
        </is>
      </c>
      <c r="C42" s="50" t="inlineStr">
        <is>
          <t>@hassangadgets</t>
        </is>
      </c>
      <c r="D42" s="50" t="inlineStr">
        <is>
          <t>Tech Reviews</t>
        </is>
      </c>
      <c r="E42" s="50" t="inlineStr">
        <is>
          <t>Nano</t>
        </is>
      </c>
      <c r="F42" s="51" t="n">
        <v>9100</v>
      </c>
      <c r="G42" s="51" t="n">
        <v>6500</v>
      </c>
      <c r="H42" s="52" t="n">
        <v>0.094</v>
      </c>
      <c r="I42" s="53">
        <f>G42/F42</f>
        <v/>
      </c>
      <c r="J42" s="50" t="inlineStr">
        <is>
          <t>TRUE</t>
        </is>
      </c>
      <c r="K42" s="50" t="n">
        <v>90</v>
      </c>
      <c r="L42" s="50" t="inlineStr">
        <is>
          <t>18-34</t>
        </is>
      </c>
      <c r="M42" s="50" t="inlineStr">
        <is>
          <t>73% M</t>
        </is>
      </c>
      <c r="N42" s="50" t="inlineStr">
        <is>
          <t>AE</t>
        </is>
      </c>
      <c r="O42" s="50" t="inlineStr">
        <is>
          <t>3 / week</t>
        </is>
      </c>
      <c r="P42" s="50" t="n">
        <v>6</v>
      </c>
      <c r="Q42" s="54" t="n">
        <v>310</v>
      </c>
      <c r="R42" s="54" t="n">
        <v>650</v>
      </c>
      <c r="S42" s="54" t="n">
        <v>160</v>
      </c>
      <c r="T42" s="55">
        <f>ROUND(R42/G42*1000,1)</f>
        <v/>
      </c>
      <c r="U42" s="56" t="inlineStr">
        <is>
          <t>Shorts-heavy Nano; UAE / Arabic.</t>
        </is>
      </c>
      <c r="V42" s="57" t="inlineStr">
        <is>
          <t>HA</t>
        </is>
      </c>
      <c r="W42" s="57" t="inlineStr">
        <is>
          <t>#283747</t>
        </is>
      </c>
      <c r="X42" s="57" t="inlineStr">
        <is>
          <t>Fast gadget first-looks, mostly Shorts.</t>
        </is>
      </c>
      <c r="Y42" s="57" t="inlineStr">
        <is>
          <t>English; Arabic</t>
        </is>
      </c>
      <c r="Z42" s="57" t="inlineStr">
        <is>
          <t>Integrated; Short</t>
        </is>
      </c>
      <c r="AA42" s="57" t="n">
        <v>7</v>
      </c>
      <c r="AB42" s="57" t="inlineStr">
        <is>
          <t>Consumer Electronics; Accessories</t>
        </is>
      </c>
    </row>
    <row r="43">
      <c r="A43" s="50" t="inlineStr">
        <is>
          <t>marco-bianchi</t>
        </is>
      </c>
      <c r="B43" s="50" t="inlineStr">
        <is>
          <t>Marco Bianchi</t>
        </is>
      </c>
      <c r="C43" s="50" t="inlineStr">
        <is>
          <t>@marcobuildspc</t>
        </is>
      </c>
      <c r="D43" s="50" t="inlineStr">
        <is>
          <t>Tech Reviews</t>
        </is>
      </c>
      <c r="E43" s="50" t="inlineStr">
        <is>
          <t>Mid-tier</t>
        </is>
      </c>
      <c r="F43" s="51" t="n">
        <v>154123</v>
      </c>
      <c r="G43" s="51" t="n">
        <v>68000</v>
      </c>
      <c r="H43" s="52" t="n">
        <v>0.046</v>
      </c>
      <c r="I43" s="53">
        <f>G43/F43</f>
        <v/>
      </c>
      <c r="J43" s="50" t="inlineStr">
        <is>
          <t>TRUE</t>
        </is>
      </c>
      <c r="K43" s="50" t="n">
        <v>87</v>
      </c>
      <c r="L43" s="50" t="inlineStr">
        <is>
          <t>18-34</t>
        </is>
      </c>
      <c r="M43" s="50" t="inlineStr">
        <is>
          <t>78% M</t>
        </is>
      </c>
      <c r="N43" s="50" t="inlineStr">
        <is>
          <t>US</t>
        </is>
      </c>
      <c r="O43" s="50" t="inlineStr">
        <is>
          <t>1 / week</t>
        </is>
      </c>
      <c r="P43" s="50" t="n">
        <v>17</v>
      </c>
      <c r="Q43" s="54" t="n">
        <v>2080</v>
      </c>
      <c r="R43" s="54" t="n">
        <v>4420</v>
      </c>
      <c r="S43" s="54" t="n">
        <v>1060</v>
      </c>
      <c r="T43" s="55">
        <f>ROUND(R43/G43*1000,1)</f>
        <v/>
      </c>
      <c r="U43" s="56" t="inlineStr">
        <is>
          <t>Mid-tier tech; amber safety 87.</t>
        </is>
      </c>
      <c r="V43" s="57" t="inlineStr">
        <is>
          <t>MB</t>
        </is>
      </c>
      <c r="W43" s="57" t="inlineStr">
        <is>
          <t>#212F3D</t>
        </is>
      </c>
      <c r="X43" s="57" t="inlineStr">
        <is>
          <t>Custom PC builds and thermals, tested to failure.</t>
        </is>
      </c>
      <c r="Y43" s="57" t="inlineStr">
        <is>
          <t>English; Italian</t>
        </is>
      </c>
      <c r="Z43" s="57" t="inlineStr">
        <is>
          <t>Integrated; Dedicated; Short</t>
        </is>
      </c>
      <c r="AA43" s="57" t="n">
        <v>14</v>
      </c>
      <c r="AB43" s="57" t="inlineStr">
        <is>
          <t>PC Components; Peripherals</t>
        </is>
      </c>
    </row>
    <row r="44">
      <c r="A44" s="50" t="inlineStr">
        <is>
          <t>brandon-cole</t>
        </is>
      </c>
      <c r="B44" s="50" t="inlineStr">
        <is>
          <t>Brandon Cole</t>
        </is>
      </c>
      <c r="C44" s="50" t="inlineStr">
        <is>
          <t>@brandonplays</t>
        </is>
      </c>
      <c r="D44" s="50" t="inlineStr">
        <is>
          <t>Gaming</t>
        </is>
      </c>
      <c r="E44" s="50" t="inlineStr">
        <is>
          <t>Micro</t>
        </is>
      </c>
      <c r="F44" s="51" t="n">
        <v>76000</v>
      </c>
      <c r="G44" s="51" t="n">
        <v>103000</v>
      </c>
      <c r="H44" s="52" t="n">
        <v>0.128</v>
      </c>
      <c r="I44" s="53">
        <f>G44/F44</f>
        <v/>
      </c>
      <c r="J44" s="50" t="inlineStr">
        <is>
          <t>TRUE</t>
        </is>
      </c>
      <c r="K44" s="50" t="n">
        <v>84</v>
      </c>
      <c r="L44" s="50" t="inlineStr">
        <is>
          <t>18-24</t>
        </is>
      </c>
      <c r="M44" s="50" t="inlineStr">
        <is>
          <t>81% M</t>
        </is>
      </c>
      <c r="N44" s="50" t="inlineStr">
        <is>
          <t>US</t>
        </is>
      </c>
      <c r="O44" s="50" t="inlineStr">
        <is>
          <t>5 / week</t>
        </is>
      </c>
      <c r="P44" s="50" t="n">
        <v>8</v>
      </c>
      <c r="Q44" s="54" t="n">
        <v>3770</v>
      </c>
      <c r="R44" s="54" t="n">
        <v>8030</v>
      </c>
      <c r="S44" s="54" t="n">
        <v>1930</v>
      </c>
      <c r="T44" s="55">
        <f>ROUND(R44/G44*1000,1)</f>
        <v/>
      </c>
      <c r="U44" s="56" t="inlineStr">
        <is>
          <t>Shorts-driven (1.35x); amber safety 84 — review demo.</t>
        </is>
      </c>
      <c r="V44" s="57" t="inlineStr">
        <is>
          <t>BC</t>
        </is>
      </c>
      <c r="W44" s="57" t="inlineStr">
        <is>
          <t>#8E44AD</t>
        </is>
      </c>
      <c r="X44" s="57" t="inlineStr">
        <is>
          <t>Roguelike runs and indie deep-dives, five a week.</t>
        </is>
      </c>
      <c r="Y44" s="57" t="inlineStr">
        <is>
          <t>English</t>
        </is>
      </c>
      <c r="Z44" s="57" t="inlineStr">
        <is>
          <t>Integrated; Dedicated; Short</t>
        </is>
      </c>
      <c r="AA44" s="57" t="n">
        <v>5</v>
      </c>
      <c r="AB44" s="57" t="inlineStr">
        <is>
          <t>Gaming Peripherals; Game Publishers</t>
        </is>
      </c>
    </row>
    <row r="45">
      <c r="A45" s="50" t="inlineStr">
        <is>
          <t>aisha-rahman</t>
        </is>
      </c>
      <c r="B45" s="50" t="inlineStr">
        <is>
          <t>Aisha Rahman</t>
        </is>
      </c>
      <c r="C45" s="50" t="inlineStr">
        <is>
          <t>@aishacozygames</t>
        </is>
      </c>
      <c r="D45" s="50" t="inlineStr">
        <is>
          <t>Gaming</t>
        </is>
      </c>
      <c r="E45" s="50" t="inlineStr">
        <is>
          <t>Nano</t>
        </is>
      </c>
      <c r="F45" s="51" t="n">
        <v>8800</v>
      </c>
      <c r="G45" s="51" t="n">
        <v>6000</v>
      </c>
      <c r="H45" s="52" t="n">
        <v>0.119</v>
      </c>
      <c r="I45" s="53">
        <f>G45/F45</f>
        <v/>
      </c>
      <c r="J45" s="50" t="inlineStr">
        <is>
          <t>FALSE</t>
        </is>
      </c>
      <c r="K45" s="50" t="n">
        <v>95</v>
      </c>
      <c r="L45" s="50" t="inlineStr">
        <is>
          <t>18-34</t>
        </is>
      </c>
      <c r="M45" s="50" t="inlineStr">
        <is>
          <t>63% F</t>
        </is>
      </c>
      <c r="N45" s="50" t="inlineStr">
        <is>
          <t>CA</t>
        </is>
      </c>
      <c r="O45" s="50" t="inlineStr">
        <is>
          <t>3 / week</t>
        </is>
      </c>
      <c r="P45" s="50" t="n">
        <v>12</v>
      </c>
      <c r="Q45" s="54" t="n">
        <v>280</v>
      </c>
      <c r="R45" s="54" t="n">
        <v>600</v>
      </c>
      <c r="S45" s="54" t="n">
        <v>140</v>
      </c>
      <c r="T45" s="55">
        <f>ROUND(R45/G45*1000,1)</f>
        <v/>
      </c>
      <c r="U45" s="56" t="inlineStr">
        <is>
          <t>Cozy-gaming Nano, female skew — unusual for gaming.</t>
        </is>
      </c>
      <c r="V45" s="57" t="inlineStr">
        <is>
          <t>AR</t>
        </is>
      </c>
      <c r="W45" s="57" t="inlineStr">
        <is>
          <t>#7D3C98</t>
        </is>
      </c>
      <c r="X45" s="57" t="inlineStr">
        <is>
          <t>Cozy and narrative games for people who hate losing.</t>
        </is>
      </c>
      <c r="Y45" s="57" t="inlineStr">
        <is>
          <t>English</t>
        </is>
      </c>
      <c r="Z45" s="57" t="inlineStr">
        <is>
          <t>Integrated; Short</t>
        </is>
      </c>
      <c r="AA45" s="57" t="n">
        <v>7</v>
      </c>
      <c r="AB45" s="57" t="inlineStr">
        <is>
          <t>Gaming Peripherals; Game Publishers</t>
        </is>
      </c>
    </row>
    <row r="46">
      <c r="A46" s="50" t="inlineStr">
        <is>
          <t>julian-reyes</t>
        </is>
      </c>
      <c r="B46" s="50" t="inlineStr">
        <is>
          <t>Julian Reyes</t>
        </is>
      </c>
      <c r="C46" s="50" t="inlineStr">
        <is>
          <t>@julianmoney</t>
        </is>
      </c>
      <c r="D46" s="50" t="inlineStr">
        <is>
          <t>Personal Finance</t>
        </is>
      </c>
      <c r="E46" s="50" t="inlineStr">
        <is>
          <t>Micro</t>
        </is>
      </c>
      <c r="F46" s="51" t="n">
        <v>69000</v>
      </c>
      <c r="G46" s="51" t="n">
        <v>31000</v>
      </c>
      <c r="H46" s="52" t="n">
        <v>0.06</v>
      </c>
      <c r="I46" s="53">
        <f>G46/F46</f>
        <v/>
      </c>
      <c r="J46" s="50" t="inlineStr">
        <is>
          <t>TRUE</t>
        </is>
      </c>
      <c r="K46" s="50" t="n">
        <v>89</v>
      </c>
      <c r="L46" s="50" t="inlineStr">
        <is>
          <t>25-34</t>
        </is>
      </c>
      <c r="M46" s="50" t="inlineStr">
        <is>
          <t>58% M</t>
        </is>
      </c>
      <c r="N46" s="50" t="inlineStr">
        <is>
          <t>US</t>
        </is>
      </c>
      <c r="O46" s="50" t="inlineStr">
        <is>
          <t>1 / week</t>
        </is>
      </c>
      <c r="P46" s="50" t="n">
        <v>14</v>
      </c>
      <c r="Q46" s="54" t="n">
        <v>1140</v>
      </c>
      <c r="R46" s="54" t="n">
        <v>2420</v>
      </c>
      <c r="S46" s="54" t="n">
        <v>580</v>
      </c>
      <c r="T46" s="55">
        <f>ROUND(R46/G46*1000,1)</f>
        <v/>
      </c>
      <c r="U46" s="56" t="inlineStr">
        <is>
          <t>Finance Micro; amber safety 89 (claim risk).</t>
        </is>
      </c>
      <c r="V46" s="57" t="inlineStr">
        <is>
          <t>JR</t>
        </is>
      </c>
      <c r="W46" s="57" t="inlineStr">
        <is>
          <t>#1E8449</t>
        </is>
      </c>
      <c r="X46" s="57" t="inlineStr">
        <is>
          <t>Index-fund-boring investing for first-time earners.</t>
        </is>
      </c>
      <c r="Y46" s="57" t="inlineStr">
        <is>
          <t>English; Spanish</t>
        </is>
      </c>
      <c r="Z46" s="57" t="inlineStr">
        <is>
          <t>Integrated; Dedicated; Short</t>
        </is>
      </c>
      <c r="AA46" s="57" t="n">
        <v>12</v>
      </c>
      <c r="AB46" s="57" t="inlineStr">
        <is>
          <t>Fintech; Budgeting Apps</t>
        </is>
      </c>
    </row>
    <row r="47">
      <c r="A47" s="50" t="inlineStr">
        <is>
          <t>sofie-larsen</t>
        </is>
      </c>
      <c r="B47" s="50" t="inlineStr">
        <is>
          <t>Sofie Larsen</t>
        </is>
      </c>
      <c r="C47" s="50" t="inlineStr">
        <is>
          <t>@sofiebudgets</t>
        </is>
      </c>
      <c r="D47" s="50" t="inlineStr">
        <is>
          <t>Personal Finance</t>
        </is>
      </c>
      <c r="E47" s="50" t="inlineStr">
        <is>
          <t>Nano</t>
        </is>
      </c>
      <c r="F47" s="51" t="n">
        <v>7100</v>
      </c>
      <c r="G47" s="51" t="n">
        <v>4000</v>
      </c>
      <c r="H47" s="52" t="n">
        <v>0.107</v>
      </c>
      <c r="I47" s="53">
        <f>G47/F47</f>
        <v/>
      </c>
      <c r="J47" s="50" t="inlineStr">
        <is>
          <t>FALSE</t>
        </is>
      </c>
      <c r="K47" s="50" t="n">
        <v>91</v>
      </c>
      <c r="L47" s="50" t="inlineStr">
        <is>
          <t>25-34</t>
        </is>
      </c>
      <c r="M47" s="50" t="inlineStr">
        <is>
          <t>61% F</t>
        </is>
      </c>
      <c r="N47" s="50" t="inlineStr">
        <is>
          <t>US</t>
        </is>
      </c>
      <c r="O47" s="50" t="inlineStr">
        <is>
          <t>2 / week</t>
        </is>
      </c>
      <c r="P47" s="50" t="n">
        <v>11</v>
      </c>
      <c r="Q47" s="54" t="n">
        <v>190</v>
      </c>
      <c r="R47" s="54" t="n">
        <v>400</v>
      </c>
      <c r="S47" s="54" t="n">
        <v>100</v>
      </c>
      <c r="T47" s="55">
        <f>ROUND(R47/G47*1000,1)</f>
        <v/>
      </c>
      <c r="U47" s="56" t="inlineStr">
        <is>
          <t>Finance Nano, relatable framing.</t>
        </is>
      </c>
      <c r="V47" s="57" t="inlineStr">
        <is>
          <t>SL</t>
        </is>
      </c>
      <c r="W47" s="57" t="inlineStr">
        <is>
          <t>#229954</t>
        </is>
      </c>
      <c r="X47" s="57" t="inlineStr">
        <is>
          <t>No-shame budgeting and debt payoff, in public.</t>
        </is>
      </c>
      <c r="Y47" s="57" t="inlineStr">
        <is>
          <t>English</t>
        </is>
      </c>
      <c r="Z47" s="57" t="inlineStr">
        <is>
          <t>Integrated; Dedicated; Short</t>
        </is>
      </c>
      <c r="AA47" s="57" t="n">
        <v>9</v>
      </c>
      <c r="AB47" s="57" t="inlineStr">
        <is>
          <t>Fintech; Budgeting Apps</t>
        </is>
      </c>
    </row>
    <row r="48">
      <c r="A48" s="50" t="inlineStr">
        <is>
          <t>andre-costa</t>
        </is>
      </c>
      <c r="B48" s="50" t="inlineStr">
        <is>
          <t>André Costa</t>
        </is>
      </c>
      <c r="C48" s="50" t="inlineStr">
        <is>
          <t>@andrecafe</t>
        </is>
      </c>
      <c r="D48" s="50" t="inlineStr">
        <is>
          <t>Food &amp; Beverage</t>
        </is>
      </c>
      <c r="E48" s="50" t="inlineStr">
        <is>
          <t>Mid-tier</t>
        </is>
      </c>
      <c r="F48" s="51" t="n">
        <v>118912</v>
      </c>
      <c r="G48" s="51" t="n">
        <v>48000</v>
      </c>
      <c r="H48" s="52" t="n">
        <v>0.049</v>
      </c>
      <c r="I48" s="53">
        <f>G48/F48</f>
        <v/>
      </c>
      <c r="J48" s="50" t="inlineStr">
        <is>
          <t>TRUE</t>
        </is>
      </c>
      <c r="K48" s="50" t="n">
        <v>94</v>
      </c>
      <c r="L48" s="50" t="inlineStr">
        <is>
          <t>25-44</t>
        </is>
      </c>
      <c r="M48" s="50" t="inlineStr">
        <is>
          <t>55% M</t>
        </is>
      </c>
      <c r="N48" s="50" t="inlineStr">
        <is>
          <t>US</t>
        </is>
      </c>
      <c r="O48" s="50" t="inlineStr">
        <is>
          <t>1 / week</t>
        </is>
      </c>
      <c r="P48" s="50" t="n">
        <v>13</v>
      </c>
      <c r="Q48" s="54" t="n">
        <v>1470</v>
      </c>
      <c r="R48" s="54" t="n">
        <v>3120</v>
      </c>
      <c r="S48" s="54" t="n">
        <v>750</v>
      </c>
      <c r="T48" s="55">
        <f>ROUND(R48/G48*1000,1)</f>
        <v/>
      </c>
      <c r="U48" s="56" t="inlineStr">
        <is>
          <t>Mid-tier F&amp;B (coffee) — premium gear demos.</t>
        </is>
      </c>
      <c r="V48" s="57" t="inlineStr">
        <is>
          <t>AC</t>
        </is>
      </c>
      <c r="W48" s="57" t="inlineStr">
        <is>
          <t>#A04000</t>
        </is>
      </c>
      <c r="X48" s="57" t="inlineStr">
        <is>
          <t>Home-cafe builds: espresso, grinders and pour-over, tested honestly.</t>
        </is>
      </c>
      <c r="Y48" s="57" t="inlineStr">
        <is>
          <t>English; Portuguese</t>
        </is>
      </c>
      <c r="Z48" s="57" t="inlineStr">
        <is>
          <t>Integrated; Dedicated; Short</t>
        </is>
      </c>
      <c r="AA48" s="57" t="n">
        <v>14</v>
      </c>
      <c r="AB48" s="57" t="inlineStr">
        <is>
          <t>Coffee Gear; Appliances</t>
        </is>
      </c>
    </row>
    <row r="49">
      <c r="A49" s="50" t="inlineStr">
        <is>
          <t>lena-kowalski</t>
        </is>
      </c>
      <c r="B49" s="50" t="inlineStr">
        <is>
          <t>Lena Kowalski</t>
        </is>
      </c>
      <c r="C49" s="50" t="inlineStr">
        <is>
          <t>@lenabakeshop</t>
        </is>
      </c>
      <c r="D49" s="50" t="inlineStr">
        <is>
          <t>Food &amp; Beverage</t>
        </is>
      </c>
      <c r="E49" s="50" t="inlineStr">
        <is>
          <t>Micro</t>
        </is>
      </c>
      <c r="F49" s="51" t="n">
        <v>39000</v>
      </c>
      <c r="G49" s="51" t="n">
        <v>20000</v>
      </c>
      <c r="H49" s="52" t="n">
        <v>0.073</v>
      </c>
      <c r="I49" s="53">
        <f>G49/F49</f>
        <v/>
      </c>
      <c r="J49" s="50" t="inlineStr">
        <is>
          <t>TRUE</t>
        </is>
      </c>
      <c r="K49" s="50" t="n">
        <v>96</v>
      </c>
      <c r="L49" s="50" t="inlineStr">
        <is>
          <t>25-34</t>
        </is>
      </c>
      <c r="M49" s="50" t="inlineStr">
        <is>
          <t>77% F</t>
        </is>
      </c>
      <c r="N49" s="50" t="inlineStr">
        <is>
          <t>US</t>
        </is>
      </c>
      <c r="O49" s="50" t="inlineStr">
        <is>
          <t>2 / week</t>
        </is>
      </c>
      <c r="P49" s="50" t="n">
        <v>12</v>
      </c>
      <c r="Q49" s="54" t="n">
        <v>730</v>
      </c>
      <c r="R49" s="54" t="n">
        <v>1560</v>
      </c>
      <c r="S49" s="54" t="n">
        <v>370</v>
      </c>
      <c r="T49" s="55">
        <f>ROUND(R49/G49*1000,1)</f>
        <v/>
      </c>
      <c r="U49" s="56" t="inlineStr">
        <is>
          <t>Baking Micro, high safety.</t>
        </is>
      </c>
      <c r="V49" s="57" t="inlineStr">
        <is>
          <t>LK</t>
        </is>
      </c>
      <c r="W49" s="57" t="inlineStr">
        <is>
          <t>#B9770E</t>
        </is>
      </c>
      <c r="X49" s="57" t="inlineStr">
        <is>
          <t>Approachable baking with weight-based recipes that actually work.</t>
        </is>
      </c>
      <c r="Y49" s="57" t="inlineStr">
        <is>
          <t>English; Polish</t>
        </is>
      </c>
      <c r="Z49" s="57" t="inlineStr">
        <is>
          <t>Integrated; Dedicated; Short</t>
        </is>
      </c>
      <c r="AA49" s="57" t="n">
        <v>10</v>
      </c>
      <c r="AB49" s="57" t="inlineStr">
        <is>
          <t>Baking; Grocery</t>
        </is>
      </c>
    </row>
    <row r="50">
      <c r="A50" s="50" t="inlineStr">
        <is>
          <t>malik-johnson</t>
        </is>
      </c>
      <c r="B50" s="50" t="inlineStr">
        <is>
          <t>Malik Johnson</t>
        </is>
      </c>
      <c r="C50" s="50" t="inlineStr">
        <is>
          <t>@malikcooks</t>
        </is>
      </c>
      <c r="D50" s="50" t="inlineStr">
        <is>
          <t>Cooking</t>
        </is>
      </c>
      <c r="E50" s="50" t="inlineStr">
        <is>
          <t>Micro</t>
        </is>
      </c>
      <c r="F50" s="51" t="n">
        <v>84000</v>
      </c>
      <c r="G50" s="51" t="n">
        <v>39000</v>
      </c>
      <c r="H50" s="52" t="n">
        <v>0.062</v>
      </c>
      <c r="I50" s="53">
        <f>G50/F50</f>
        <v/>
      </c>
      <c r="J50" s="50" t="inlineStr">
        <is>
          <t>TRUE</t>
        </is>
      </c>
      <c r="K50" s="50" t="n">
        <v>92</v>
      </c>
      <c r="L50" s="50" t="inlineStr">
        <is>
          <t>18-34</t>
        </is>
      </c>
      <c r="M50" s="50" t="inlineStr">
        <is>
          <t>60% M</t>
        </is>
      </c>
      <c r="N50" s="50" t="inlineStr">
        <is>
          <t>US</t>
        </is>
      </c>
      <c r="O50" s="50" t="inlineStr">
        <is>
          <t>2 / week</t>
        </is>
      </c>
      <c r="P50" s="50" t="n">
        <v>13</v>
      </c>
      <c r="Q50" s="54" t="n">
        <v>1430</v>
      </c>
      <c r="R50" s="54" t="n">
        <v>3040</v>
      </c>
      <c r="S50" s="54" t="n">
        <v>730</v>
      </c>
      <c r="T50" s="55">
        <f>ROUND(R50/G50*1000,1)</f>
        <v/>
      </c>
      <c r="U50" s="56" t="inlineStr">
        <is>
          <t>Upper-Micro cooking.</t>
        </is>
      </c>
      <c r="V50" s="57" t="inlineStr">
        <is>
          <t>MJ</t>
        </is>
      </c>
      <c r="W50" s="57" t="inlineStr">
        <is>
          <t>#935116</t>
        </is>
      </c>
      <c r="X50" s="57" t="inlineStr">
        <is>
          <t>One-pan weeknight cooking for people who work late.</t>
        </is>
      </c>
      <c r="Y50" s="57" t="inlineStr">
        <is>
          <t>English</t>
        </is>
      </c>
      <c r="Z50" s="57" t="inlineStr">
        <is>
          <t>Integrated; Dedicated; Short</t>
        </is>
      </c>
      <c r="AA50" s="57" t="n">
        <v>10</v>
      </c>
      <c r="AB50" s="57" t="inlineStr">
        <is>
          <t>Cooking; Cookware</t>
        </is>
      </c>
    </row>
    <row r="51">
      <c r="A51" s="50" t="inlineStr">
        <is>
          <t>naomi-lee</t>
        </is>
      </c>
      <c r="B51" s="50" t="inlineStr">
        <is>
          <t>Naomi Lee</t>
        </is>
      </c>
      <c r="C51" s="50" t="inlineStr">
        <is>
          <t>@naomiplantskin</t>
        </is>
      </c>
      <c r="D51" s="50" t="inlineStr">
        <is>
          <t>Beauty &amp; Skincare</t>
        </is>
      </c>
      <c r="E51" s="50" t="inlineStr">
        <is>
          <t>Mid-tier</t>
        </is>
      </c>
      <c r="F51" s="51" t="n">
        <v>399254</v>
      </c>
      <c r="G51" s="51" t="n">
        <v>156000</v>
      </c>
      <c r="H51" s="52" t="n">
        <v>0.05</v>
      </c>
      <c r="I51" s="53">
        <f>G51/F51</f>
        <v/>
      </c>
      <c r="J51" s="50" t="inlineStr">
        <is>
          <t>TRUE</t>
        </is>
      </c>
      <c r="K51" s="50" t="n">
        <v>95</v>
      </c>
      <c r="L51" s="50" t="inlineStr">
        <is>
          <t>25-44</t>
        </is>
      </c>
      <c r="M51" s="50" t="inlineStr">
        <is>
          <t>83% F</t>
        </is>
      </c>
      <c r="N51" s="50" t="inlineStr">
        <is>
          <t>US</t>
        </is>
      </c>
      <c r="O51" s="50" t="inlineStr">
        <is>
          <t>1 / week</t>
        </is>
      </c>
      <c r="P51" s="50" t="n">
        <v>12</v>
      </c>
      <c r="Q51" s="54" t="n">
        <v>4770</v>
      </c>
      <c r="R51" s="54" t="n">
        <v>10140</v>
      </c>
      <c r="S51" s="54" t="n">
        <v>2430</v>
      </c>
      <c r="T51" s="55">
        <f>ROUND(R51/G51*1000,1)</f>
        <v/>
      </c>
      <c r="U51" s="56" t="inlineStr">
        <is>
          <t>Mid-tier beauty, larger reach.</t>
        </is>
      </c>
      <c r="V51" s="57" t="inlineStr">
        <is>
          <t>NL</t>
        </is>
      </c>
      <c r="W51" s="57" t="inlineStr">
        <is>
          <t>#C2407A</t>
        </is>
      </c>
      <c r="X51" s="57" t="inlineStr">
        <is>
          <t>K-beauty routines and the science of why they work.</t>
        </is>
      </c>
      <c r="Y51" s="57" t="inlineStr">
        <is>
          <t>English; Korean</t>
        </is>
      </c>
      <c r="Z51" s="57" t="inlineStr">
        <is>
          <t>Integrated; Dedicated; Short</t>
        </is>
      </c>
      <c r="AA51" s="57" t="n">
        <v>14</v>
      </c>
      <c r="AB51" s="57" t="inlineStr">
        <is>
          <t>Beauty &amp; Skincare; Cosmetics</t>
        </is>
      </c>
    </row>
    <row r="52">
      <c r="A52" s="50" t="inlineStr">
        <is>
          <t>ethan-brooks</t>
        </is>
      </c>
      <c r="B52" s="50" t="inlineStr">
        <is>
          <t>Ethan Brooks</t>
        </is>
      </c>
      <c r="C52" s="50" t="inlineStr">
        <is>
          <t>@ethanoutdoors</t>
        </is>
      </c>
      <c r="D52" s="50" t="inlineStr">
        <is>
          <t>Outdoor &amp; Gear</t>
        </is>
      </c>
      <c r="E52" s="50" t="inlineStr">
        <is>
          <t>Mid-tier</t>
        </is>
      </c>
      <c r="F52" s="51" t="n">
        <v>209248</v>
      </c>
      <c r="G52" s="51" t="n">
        <v>88000</v>
      </c>
      <c r="H52" s="52" t="n">
        <v>0.047</v>
      </c>
      <c r="I52" s="53">
        <f>G52/F52</f>
        <v/>
      </c>
      <c r="J52" s="50" t="inlineStr">
        <is>
          <t>TRUE</t>
        </is>
      </c>
      <c r="K52" s="50" t="n">
        <v>93</v>
      </c>
      <c r="L52" s="50" t="inlineStr">
        <is>
          <t>25-44</t>
        </is>
      </c>
      <c r="M52" s="50" t="inlineStr">
        <is>
          <t>68% M</t>
        </is>
      </c>
      <c r="N52" s="50" t="inlineStr">
        <is>
          <t>US</t>
        </is>
      </c>
      <c r="O52" s="50" t="inlineStr">
        <is>
          <t>1 / week</t>
        </is>
      </c>
      <c r="P52" s="50" t="n">
        <v>19</v>
      </c>
      <c r="Q52" s="54" t="n">
        <v>2690</v>
      </c>
      <c r="R52" s="54" t="n">
        <v>5720</v>
      </c>
      <c r="S52" s="54" t="n">
        <v>1370</v>
      </c>
      <c r="T52" s="55">
        <f>ROUND(R52/G52*1000,1)</f>
        <v/>
      </c>
      <c r="U52" s="56" t="inlineStr">
        <is>
          <t>Mid-tier outdoor, high-ticket gear.</t>
        </is>
      </c>
      <c r="V52" s="57" t="inlineStr">
        <is>
          <t>EB</t>
        </is>
      </c>
      <c r="W52" s="57" t="inlineStr">
        <is>
          <t>#1A5276</t>
        </is>
      </c>
      <c r="X52" s="57" t="inlineStr">
        <is>
          <t>Overlanding and truck-camping builds for long trips.</t>
        </is>
      </c>
      <c r="Y52" s="57" t="inlineStr">
        <is>
          <t>English</t>
        </is>
      </c>
      <c r="Z52" s="57" t="inlineStr">
        <is>
          <t>Integrated; Dedicated; Short</t>
        </is>
      </c>
      <c r="AA52" s="57" t="n">
        <v>21</v>
      </c>
      <c r="AB52" s="57" t="inlineStr">
        <is>
          <t>Outdoor Gear; Automotive</t>
        </is>
      </c>
    </row>
    <row r="53">
      <c r="A53" s="50" t="inlineStr">
        <is>
          <t>rosa-mendez</t>
        </is>
      </c>
      <c r="B53" s="50" t="inlineStr">
        <is>
          <t>Rosa Mendez</t>
        </is>
      </c>
      <c r="C53" s="50" t="inlineStr">
        <is>
          <t>@rosafamilia</t>
        </is>
      </c>
      <c r="D53" s="50" t="inlineStr">
        <is>
          <t>Parenting &amp; Family</t>
        </is>
      </c>
      <c r="E53" s="50" t="inlineStr">
        <is>
          <t>Micro</t>
        </is>
      </c>
      <c r="F53" s="51" t="n">
        <v>58000</v>
      </c>
      <c r="G53" s="51" t="n">
        <v>28000</v>
      </c>
      <c r="H53" s="52" t="n">
        <v>0.07000000000000001</v>
      </c>
      <c r="I53" s="53">
        <f>G53/F53</f>
        <v/>
      </c>
      <c r="J53" s="50" t="inlineStr">
        <is>
          <t>TRUE</t>
        </is>
      </c>
      <c r="K53" s="50" t="n">
        <v>97</v>
      </c>
      <c r="L53" s="50" t="inlineStr">
        <is>
          <t>30-44</t>
        </is>
      </c>
      <c r="M53" s="50" t="inlineStr">
        <is>
          <t>79% F</t>
        </is>
      </c>
      <c r="N53" s="50" t="inlineStr">
        <is>
          <t>US</t>
        </is>
      </c>
      <c r="O53" s="50" t="inlineStr">
        <is>
          <t>2 / week</t>
        </is>
      </c>
      <c r="P53" s="50" t="n">
        <v>11</v>
      </c>
      <c r="Q53" s="54" t="n">
        <v>1020</v>
      </c>
      <c r="R53" s="54" t="n">
        <v>2180</v>
      </c>
      <c r="S53" s="54" t="n">
        <v>520</v>
      </c>
      <c r="T53" s="55">
        <f>ROUND(R53/G53*1000,1)</f>
        <v/>
      </c>
      <c r="U53" s="56" t="inlineStr">
        <is>
          <t>Bilingual parenting Micro.</t>
        </is>
      </c>
      <c r="V53" s="57" t="inlineStr">
        <is>
          <t>RM</t>
        </is>
      </c>
      <c r="W53" s="57" t="inlineStr">
        <is>
          <t>#CB4335</t>
        </is>
      </c>
      <c r="X53" s="57" t="inlineStr">
        <is>
          <t>Bilingual parenting and big-batch family cooking.</t>
        </is>
      </c>
      <c r="Y53" s="57" t="inlineStr">
        <is>
          <t>English; Spanish</t>
        </is>
      </c>
      <c r="Z53" s="57" t="inlineStr">
        <is>
          <t>Integrated; Dedicated; Short</t>
        </is>
      </c>
      <c r="AA53" s="57" t="n">
        <v>10</v>
      </c>
      <c r="AB53" s="57" t="inlineStr">
        <is>
          <t>Parenting &amp; Family; Grocery</t>
        </is>
      </c>
    </row>
    <row r="54">
      <c r="A54" s="50" t="inlineStr">
        <is>
          <t>felicity-obi</t>
        </is>
      </c>
      <c r="B54" s="50" t="inlineStr">
        <is>
          <t>Felicity Obi</t>
        </is>
      </c>
      <c r="C54" s="50" t="inlineStr">
        <is>
          <t>@felicitythrifts</t>
        </is>
      </c>
      <c r="D54" s="50" t="inlineStr">
        <is>
          <t>Fashion &amp; Beauty</t>
        </is>
      </c>
      <c r="E54" s="50" t="inlineStr">
        <is>
          <t>Nano</t>
        </is>
      </c>
      <c r="F54" s="51" t="n">
        <v>6900</v>
      </c>
      <c r="G54" s="51" t="n">
        <v>4000</v>
      </c>
      <c r="H54" s="52" t="n">
        <v>0.109</v>
      </c>
      <c r="I54" s="53">
        <f>G54/F54</f>
        <v/>
      </c>
      <c r="J54" s="50" t="inlineStr">
        <is>
          <t>FALSE</t>
        </is>
      </c>
      <c r="K54" s="50" t="n">
        <v>94</v>
      </c>
      <c r="L54" s="50" t="inlineStr">
        <is>
          <t>18-34</t>
        </is>
      </c>
      <c r="M54" s="50" t="inlineStr">
        <is>
          <t>88% F</t>
        </is>
      </c>
      <c r="N54" s="50" t="inlineStr">
        <is>
          <t>US</t>
        </is>
      </c>
      <c r="O54" s="50" t="inlineStr">
        <is>
          <t>2 / week</t>
        </is>
      </c>
      <c r="P54" s="50" t="n">
        <v>9</v>
      </c>
      <c r="Q54" s="54" t="n">
        <v>190</v>
      </c>
      <c r="R54" s="54" t="n">
        <v>400</v>
      </c>
      <c r="S54" s="54" t="n">
        <v>100</v>
      </c>
      <c r="T54" s="55">
        <f>ROUND(R54/G54*1000,1)</f>
        <v/>
      </c>
      <c r="U54" s="56" t="inlineStr">
        <is>
          <t>Nano fashion, strongest gender skew, cheap entry.</t>
        </is>
      </c>
      <c r="V54" s="57" t="inlineStr">
        <is>
          <t>FO</t>
        </is>
      </c>
      <c r="W54" s="57" t="inlineStr">
        <is>
          <t>#A93226</t>
        </is>
      </c>
      <c r="X54" s="57" t="inlineStr">
        <is>
          <t>Thrift hauls and refashioning for a tiny budget.</t>
        </is>
      </c>
      <c r="Y54" s="57" t="inlineStr">
        <is>
          <t>English</t>
        </is>
      </c>
      <c r="Z54" s="57" t="inlineStr">
        <is>
          <t>Integrated; Dedicated; Short</t>
        </is>
      </c>
      <c r="AA54" s="57" t="n">
        <v>8</v>
      </c>
      <c r="AB54" s="57" t="inlineStr">
        <is>
          <t>Apparel; Resale Platforms</t>
        </is>
      </c>
    </row>
    <row r="56">
      <c r="A56" s="58" t="inlineStr">
        <is>
          <t>All values above are invented for demonstration. Rates follow a decreasing cost-per-1,000-views curve as audience size grows, which is how real creator rate cards behave. Tier boundaries: Nano under 10K subscribers, Micro 10K-100K, Mid-tier 100K-500K.</t>
        </is>
      </c>
    </row>
    <row r="58">
      <c r="A58" s="59" t="inlineStr">
        <is>
          <t>FLAG LEGEND</t>
        </is>
      </c>
    </row>
    <row r="59">
      <c r="A59" s="60" t="inlineStr">
        <is>
          <t>K column green</t>
        </is>
      </c>
      <c r="B59" s="61" t="inlineStr">
        <is>
          <t>Safety 90+ - no manual review needed.</t>
        </is>
      </c>
    </row>
    <row r="60">
      <c r="A60" s="60" t="inlineStr">
        <is>
          <t>K column amber</t>
        </is>
      </c>
      <c r="B60" s="61" t="inlineStr">
        <is>
          <t>Safety 80-89 - review the content before signing.</t>
        </is>
      </c>
    </row>
    <row r="61">
      <c r="A61" s="60" t="inlineStr">
        <is>
          <t>K column red</t>
        </is>
      </c>
      <c r="B61" s="61" t="inlineStr">
        <is>
          <t>Safety under 80 - manual review required. Only Marcus Hale, deliberately.</t>
        </is>
      </c>
    </row>
    <row r="62">
      <c r="A62" s="60" t="inlineStr">
        <is>
          <t>H column amber</t>
        </is>
      </c>
      <c r="B62" s="61" t="inlineStr">
        <is>
          <t>Engagement below the floor for this creator's tier.</t>
        </is>
      </c>
    </row>
    <row r="63">
      <c r="A63" s="60" t="inlineStr">
        <is>
          <t>T column red</t>
        </is>
      </c>
      <c r="B63" s="61" t="inlineStr">
        <is>
          <t>Cost per 1,000 views above the poor-value threshold for this tier.</t>
        </is>
      </c>
    </row>
  </sheetData>
  <conditionalFormatting sqref="K5:K22">
    <cfRule type="cellIs" rank="0" priority="2" equalAverage="0" operator="lessThan" aboveAverage="0" dxfId="0" text="" percent="0" bottom="0">
      <formula>80</formula>
    </cfRule>
    <cfRule type="cellIs" rank="0" priority="3" equalAverage="0" operator="between" aboveAverage="0" dxfId="1" text="" percent="0" bottom="0">
      <formula>80</formula>
      <formula>89</formula>
    </cfRule>
    <cfRule type="cellIs" rank="0" priority="4" equalAverage="0" operator="greaterThanOrEqual" aboveAverage="0" dxfId="2" text="" percent="0" bottom="0">
      <formula>90</formula>
    </cfRule>
  </conditionalFormatting>
  <conditionalFormatting sqref="H5:H22">
    <cfRule type="expression" rank="0" priority="5" equalAverage="0" aboveAverage="0" dxfId="1" text="" percent="0" bottom="0">
      <formula>H5&lt;INDEX('Feature benchmarks'!$D$6:$D$8,MATCH($E5,'Feature benchmarks'!$A$6:$A$8,0))</formula>
    </cfRule>
  </conditionalFormatting>
  <conditionalFormatting sqref="T5:T22">
    <cfRule type="expression" rank="0" priority="6" equalAverage="0" aboveAverage="0" dxfId="0" text="" percent="0" bottom="0">
      <formula>T5&gt;INDEX('Feature benchmarks'!$G$6:$G$8,MATCH($E5,'Feature benchmarks'!$A$6:$A$8,0))</formula>
    </cfRule>
  </conditionalFormatting>
  <dataValidations count="4">
    <dataValidation sqref="D5:D22" showDropDown="0" showInputMessage="0" showErrorMessage="1" allowBlank="0" errorTitle="Unlisted category" error="Use a category listed on the Feature benchmarks tab, or the fit score cannot look it up." type="list" errorStyle="stop" operator="between">
      <formula1>"Food &amp; Beverage,Cooking,Health &amp; Lifestyle,Parenting &amp; Family,Fitness,Beauty &amp; Skincare,Fashion &amp; Beauty,Outdoor &amp; Gear,Tech Reviews,Gaming,Personal Finance"</formula1>
      <formula2>0</formula2>
    </dataValidation>
    <dataValidation sqref="E5:E22" showDropDown="0" showInputMessage="0" showErrorMessage="1" allowBlank="0" errorTitle="Unknown tier" error="Tier must be Nano, Micro or Mid-tier." type="list" errorStyle="stop" operator="between">
      <formula1>"Nano,Micro,Mid-tier"</formula1>
      <formula2>0</formula2>
    </dataValidation>
    <dataValidation sqref="J5:J22" showDropDown="0" showInputMessage="0" showErrorMessage="1" allowBlank="0" type="list" errorStyle="stop" operator="between">
      <formula1>"TRUE,FALSE"</formula1>
      <formula2>0</formula2>
    </dataValidation>
    <dataValidation sqref="K5:K22" showDropDown="0" showInputMessage="0" showErrorMessage="1" allowBlank="0" errorTitle="Out of range" error="Safety score is an integer from 0 to 100." type="whole" errorStyle="stop" operator="between">
      <formula1>0</formula1>
      <formula2>100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7" customWidth="1" style="37" min="1" max="1"/>
    <col width="52" customWidth="1" style="37" min="2" max="2"/>
    <col width="11" customWidth="1" style="37" min="3" max="3"/>
    <col width="12" customWidth="1" style="37" min="4" max="4"/>
    <col width="11" customWidth="1" style="37" min="5" max="5"/>
    <col width="12" customWidth="1" style="37" min="6" max="6"/>
    <col width="20" customWidth="1" style="37" min="7" max="7"/>
    <col width="13" customWidth="1" style="37" min="8" max="8"/>
    <col width="36" customWidth="1" style="37" min="9" max="9"/>
  </cols>
  <sheetData>
    <row r="1" ht="17.25" customHeight="1" s="38">
      <c r="A1" s="39" t="inlineStr">
        <is>
          <t>Recent videos - 3 per creator</t>
        </is>
      </c>
    </row>
    <row r="2" ht="15" customHeight="1" s="38">
      <c r="A2" s="40" t="inlineStr">
        <is>
          <t>This is what the AI reads to score campaign fit and to draft a brief written for one specific creator. Without it, a personalized brief has nothing to personalize from.</t>
        </is>
      </c>
    </row>
    <row r="4" ht="30" customHeight="1" s="38">
      <c r="A4" s="41" t="inlineStr">
        <is>
          <t>creator_id</t>
        </is>
      </c>
      <c r="B4" s="41" t="inlineStr">
        <is>
          <t>video_title</t>
        </is>
      </c>
      <c r="C4" s="41" t="inlineStr">
        <is>
          <t>days_ago</t>
        </is>
      </c>
      <c r="D4" s="41" t="inlineStr">
        <is>
          <t>views</t>
        </is>
      </c>
      <c r="E4" s="41" t="inlineStr">
        <is>
          <t>likes</t>
        </is>
      </c>
      <c r="F4" s="41" t="inlineStr">
        <is>
          <t>comments</t>
        </is>
      </c>
      <c r="G4" s="41" t="inlineStr">
        <is>
          <t>video_engagement_rate</t>
        </is>
      </c>
      <c r="H4" s="41" t="inlineStr">
        <is>
          <t>had_sponsor</t>
        </is>
      </c>
      <c r="I4" s="41" t="inlineStr">
        <is>
          <t>topic_tags</t>
        </is>
      </c>
    </row>
    <row r="5" ht="15" customHeight="1" s="38">
      <c r="A5" s="65" t="inlineStr">
        <is>
          <t>maya-chen</t>
        </is>
      </c>
      <c r="B5" s="65" t="inlineStr">
        <is>
          <t>I Tried 6 Grocery-Store Olive Oils - Blind Taste Test</t>
        </is>
      </c>
      <c r="C5" s="65" t="n">
        <v>8</v>
      </c>
      <c r="D5" s="66" t="n">
        <v>52000</v>
      </c>
      <c r="E5" s="66" t="n">
        <v>3900</v>
      </c>
      <c r="F5" s="66" t="n">
        <v>410</v>
      </c>
      <c r="G5" s="67">
        <f>(E5+F5)/D5</f>
        <v/>
      </c>
      <c r="H5" s="65" t="inlineStr">
        <is>
          <t>FALSE</t>
        </is>
      </c>
      <c r="I5" s="65" t="inlineStr">
        <is>
          <t>taste-test; pantry; comparison</t>
        </is>
      </c>
    </row>
    <row r="6" ht="15" customHeight="1" s="38">
      <c r="A6" s="65" t="inlineStr">
        <is>
          <t>maya-chen</t>
        </is>
      </c>
      <c r="B6" s="65" t="inlineStr">
        <is>
          <t>The $9 Pantry Dinner I Make Every Week</t>
        </is>
      </c>
      <c r="C6" s="65" t="n">
        <v>17</v>
      </c>
      <c r="D6" s="66" t="n">
        <v>38000</v>
      </c>
      <c r="E6" s="66" t="n">
        <v>2800</v>
      </c>
      <c r="F6" s="66" t="n">
        <v>290</v>
      </c>
      <c r="G6" s="67">
        <f>(E6+F6)/D6</f>
        <v/>
      </c>
      <c r="H6" s="65" t="inlineStr">
        <is>
          <t>TRUE</t>
        </is>
      </c>
      <c r="I6" s="65" t="inlineStr">
        <is>
          <t>budget; weeknight; recipe</t>
        </is>
      </c>
    </row>
    <row r="7" ht="15" customHeight="1" s="38">
      <c r="A7" s="65" t="inlineStr">
        <is>
          <t>maya-chen</t>
        </is>
      </c>
      <c r="B7" s="65" t="inlineStr">
        <is>
          <t>Why Your Cold Brew Tastes Bitter (3 Fixes)</t>
        </is>
      </c>
      <c r="C7" s="65" t="n">
        <v>26</v>
      </c>
      <c r="D7" s="66" t="n">
        <v>44000</v>
      </c>
      <c r="E7" s="66" t="n">
        <v>3300</v>
      </c>
      <c r="F7" s="66" t="n">
        <v>355</v>
      </c>
      <c r="G7" s="67">
        <f>(E7+F7)/D7</f>
        <v/>
      </c>
      <c r="H7" s="65" t="inlineStr">
        <is>
          <t>FALSE</t>
        </is>
      </c>
      <c r="I7" s="65" t="inlineStr">
        <is>
          <t>coffee; technique; troubleshooting</t>
        </is>
      </c>
    </row>
    <row r="8" ht="15" customHeight="1" s="38">
      <c r="A8" s="65" t="inlineStr">
        <is>
          <t>diego-alvarez</t>
        </is>
      </c>
      <c r="B8" s="65" t="inlineStr">
        <is>
          <t>Restaurant-Style Carnitas in a Home Oven</t>
        </is>
      </c>
      <c r="C8" s="65" t="n">
        <v>5</v>
      </c>
      <c r="D8" s="66" t="n">
        <v>71000</v>
      </c>
      <c r="E8" s="66" t="n">
        <v>3600</v>
      </c>
      <c r="F8" s="66" t="n">
        <v>480</v>
      </c>
      <c r="G8" s="67">
        <f>(E8+F8)/D8</f>
        <v/>
      </c>
      <c r="H8" s="65" t="inlineStr">
        <is>
          <t>FALSE</t>
        </is>
      </c>
      <c r="I8" s="65" t="inlineStr">
        <is>
          <t>recipe; technique; mexican</t>
        </is>
      </c>
    </row>
    <row r="9" ht="15" customHeight="1" s="38">
      <c r="A9" s="65" t="inlineStr">
        <is>
          <t>diego-alvarez</t>
        </is>
      </c>
      <c r="B9" s="65" t="inlineStr">
        <is>
          <t>I Cooked Every Recipe From One Cookbook for a Week</t>
        </is>
      </c>
      <c r="C9" s="65" t="n">
        <v>14</v>
      </c>
      <c r="D9" s="66" t="n">
        <v>58000</v>
      </c>
      <c r="E9" s="66" t="n">
        <v>2900</v>
      </c>
      <c r="F9" s="66" t="n">
        <v>390</v>
      </c>
      <c r="G9" s="67">
        <f>(E9+F9)/D9</f>
        <v/>
      </c>
      <c r="H9" s="65" t="inlineStr">
        <is>
          <t>FALSE</t>
        </is>
      </c>
      <c r="I9" s="65" t="inlineStr">
        <is>
          <t>challenge; cookbook</t>
        </is>
      </c>
    </row>
    <row r="10" ht="15" customHeight="1" s="38">
      <c r="A10" s="65" t="inlineStr">
        <is>
          <t>diego-alvarez</t>
        </is>
      </c>
      <c r="B10" s="65" t="inlineStr">
        <is>
          <t>The Only 5 Knives You Actually Need</t>
        </is>
      </c>
      <c r="C10" s="65" t="n">
        <v>23</v>
      </c>
      <c r="D10" s="66" t="n">
        <v>64000</v>
      </c>
      <c r="E10" s="66" t="n">
        <v>3400</v>
      </c>
      <c r="F10" s="66" t="n">
        <v>520</v>
      </c>
      <c r="G10" s="67">
        <f>(E10+F10)/D10</f>
        <v/>
      </c>
      <c r="H10" s="65" t="inlineStr">
        <is>
          <t>TRUE</t>
        </is>
      </c>
      <c r="I10" s="65" t="inlineStr">
        <is>
          <t>gear; kitchen-tools; buying-guide</t>
        </is>
      </c>
    </row>
    <row r="11" ht="15" customHeight="1" s="38">
      <c r="A11" s="65" t="inlineStr">
        <is>
          <t>priya-nair</t>
        </is>
      </c>
      <c r="B11" s="65" t="inlineStr">
        <is>
          <t>My Actual 6am Routine (No 5am Nonsense)</t>
        </is>
      </c>
      <c r="C11" s="65" t="n">
        <v>6</v>
      </c>
      <c r="D11" s="66" t="n">
        <v>15000</v>
      </c>
      <c r="E11" s="66" t="n">
        <v>1400</v>
      </c>
      <c r="F11" s="66" t="n">
        <v>180</v>
      </c>
      <c r="G11" s="67">
        <f>(E11+F11)/D11</f>
        <v/>
      </c>
      <c r="H11" s="65" t="inlineStr">
        <is>
          <t>FALSE</t>
        </is>
      </c>
      <c r="I11" s="65" t="inlineStr">
        <is>
          <t>routine; morning; realistic</t>
        </is>
      </c>
    </row>
    <row r="12" ht="15" customHeight="1" s="38">
      <c r="A12" s="65" t="inlineStr">
        <is>
          <t>priya-nair</t>
        </is>
      </c>
      <c r="B12" s="65" t="inlineStr">
        <is>
          <t>What I Eat in a Week on a Student Budget</t>
        </is>
      </c>
      <c r="C12" s="65" t="n">
        <v>12</v>
      </c>
      <c r="D12" s="66" t="n">
        <v>11000</v>
      </c>
      <c r="E12" s="66" t="n">
        <v>1100</v>
      </c>
      <c r="F12" s="66" t="n">
        <v>140</v>
      </c>
      <c r="G12" s="67">
        <f>(E12+F12)/D12</f>
        <v/>
      </c>
      <c r="H12" s="65" t="inlineStr">
        <is>
          <t>FALSE</t>
        </is>
      </c>
      <c r="I12" s="65" t="inlineStr">
        <is>
          <t>budget; nutrition; student</t>
        </is>
      </c>
    </row>
    <row r="13" ht="15" customHeight="1" s="38">
      <c r="A13" s="65" t="inlineStr">
        <is>
          <t>priya-nair</t>
        </is>
      </c>
      <c r="B13" s="65" t="inlineStr">
        <is>
          <t>3 Stretches That Fixed My Desk Neck</t>
        </is>
      </c>
      <c r="C13" s="65" t="n">
        <v>21</v>
      </c>
      <c r="D13" s="66" t="n">
        <v>13000</v>
      </c>
      <c r="E13" s="66" t="n">
        <v>1250</v>
      </c>
      <c r="F13" s="66" t="n">
        <v>160</v>
      </c>
      <c r="G13" s="67">
        <f>(E13+F13)/D13</f>
        <v/>
      </c>
      <c r="H13" s="65" t="inlineStr">
        <is>
          <t>TRUE</t>
        </is>
      </c>
      <c r="I13" s="65" t="inlineStr">
        <is>
          <t>mobility; desk-health; how-to</t>
        </is>
      </c>
    </row>
    <row r="14" ht="15" customHeight="1" s="38">
      <c r="A14" s="65" t="inlineStr">
        <is>
          <t>jordan-blake</t>
        </is>
      </c>
      <c r="B14" s="65" t="inlineStr">
        <is>
          <t>This $200 Laptop Shouldn't Be This Good</t>
        </is>
      </c>
      <c r="C14" s="65" t="n">
        <v>4</v>
      </c>
      <c r="D14" s="66" t="n">
        <v>168000</v>
      </c>
      <c r="E14" s="66" t="n">
        <v>7100</v>
      </c>
      <c r="F14" s="66" t="n">
        <v>1200</v>
      </c>
      <c r="G14" s="67">
        <f>(E14+F14)/D14</f>
        <v/>
      </c>
      <c r="H14" s="65" t="inlineStr">
        <is>
          <t>FALSE</t>
        </is>
      </c>
      <c r="I14" s="65" t="inlineStr">
        <is>
          <t>budget-tech; laptop; review</t>
        </is>
      </c>
    </row>
    <row r="15" ht="15" customHeight="1" s="38">
      <c r="A15" s="65" t="inlineStr">
        <is>
          <t>jordan-blake</t>
        </is>
      </c>
      <c r="B15" s="65" t="inlineStr">
        <is>
          <t>I Used Only Budget Headphones for 30 Days</t>
        </is>
      </c>
      <c r="C15" s="65" t="n">
        <v>13</v>
      </c>
      <c r="D15" s="66" t="n">
        <v>129000</v>
      </c>
      <c r="E15" s="66" t="n">
        <v>5400</v>
      </c>
      <c r="F15" s="66" t="n">
        <v>890</v>
      </c>
      <c r="G15" s="67">
        <f>(E15+F15)/D15</f>
        <v/>
      </c>
      <c r="H15" s="65" t="inlineStr">
        <is>
          <t>TRUE</t>
        </is>
      </c>
      <c r="I15" s="65" t="inlineStr">
        <is>
          <t>audio; long-term-test</t>
        </is>
      </c>
    </row>
    <row r="16" ht="15" customHeight="1" s="38">
      <c r="A16" s="65" t="inlineStr">
        <is>
          <t>jordan-blake</t>
        </is>
      </c>
      <c r="B16" s="65" t="inlineStr">
        <is>
          <t>Every USB-C Cable Is Lying to You</t>
        </is>
      </c>
      <c r="C16" s="65" t="n">
        <v>22</v>
      </c>
      <c r="D16" s="66" t="n">
        <v>145000</v>
      </c>
      <c r="E16" s="66" t="n">
        <v>6200</v>
      </c>
      <c r="F16" s="66" t="n">
        <v>1050</v>
      </c>
      <c r="G16" s="67">
        <f>(E16+F16)/D16</f>
        <v/>
      </c>
      <c r="H16" s="65" t="inlineStr">
        <is>
          <t>FALSE</t>
        </is>
      </c>
      <c r="I16" s="65" t="inlineStr">
        <is>
          <t>accessories; testing; explainer</t>
        </is>
      </c>
    </row>
    <row r="17" ht="15" customHeight="1" s="38">
      <c r="A17" s="65" t="inlineStr">
        <is>
          <t>sofia-reyes</t>
        </is>
      </c>
      <c r="B17" s="65" t="inlineStr">
        <is>
          <t>Sourdough in a Tiny Apartment Kitchen</t>
        </is>
      </c>
      <c r="C17" s="65" t="n">
        <v>7</v>
      </c>
      <c r="D17" s="66" t="n">
        <v>3600</v>
      </c>
      <c r="E17" s="66" t="n">
        <v>420</v>
      </c>
      <c r="F17" s="66" t="n">
        <v>68</v>
      </c>
      <c r="G17" s="67">
        <f>(E17+F17)/D17</f>
        <v/>
      </c>
      <c r="H17" s="65" t="inlineStr">
        <is>
          <t>FALSE</t>
        </is>
      </c>
      <c r="I17" s="65" t="inlineStr">
        <is>
          <t>baking; small-space; bread</t>
        </is>
      </c>
    </row>
    <row r="18" ht="15" customHeight="1" s="38">
      <c r="A18" s="65" t="inlineStr">
        <is>
          <t>sofia-reyes</t>
        </is>
      </c>
      <c r="B18" s="65" t="inlineStr">
        <is>
          <t>I Baked the Same Cake 5 Ways</t>
        </is>
      </c>
      <c r="C18" s="65" t="n">
        <v>16</v>
      </c>
      <c r="D18" s="66" t="n">
        <v>2900</v>
      </c>
      <c r="E18" s="66" t="n">
        <v>350</v>
      </c>
      <c r="F18" s="66" t="n">
        <v>51</v>
      </c>
      <c r="G18" s="67">
        <f>(E18+F18)/D18</f>
        <v/>
      </c>
      <c r="H18" s="65" t="inlineStr">
        <is>
          <t>FALSE</t>
        </is>
      </c>
      <c r="I18" s="65" t="inlineStr">
        <is>
          <t>baking; experiment; cake</t>
        </is>
      </c>
    </row>
    <row r="19" ht="15" customHeight="1" s="38">
      <c r="A19" s="65" t="inlineStr">
        <is>
          <t>sofia-reyes</t>
        </is>
      </c>
      <c r="B19" s="65" t="inlineStr">
        <is>
          <t>Why Your Cookies Spread (Fixed It)</t>
        </is>
      </c>
      <c r="C19" s="65" t="n">
        <v>25</v>
      </c>
      <c r="D19" s="66" t="n">
        <v>3300</v>
      </c>
      <c r="E19" s="66" t="n">
        <v>380</v>
      </c>
      <c r="F19" s="66" t="n">
        <v>59</v>
      </c>
      <c r="G19" s="67">
        <f>(E19+F19)/D19</f>
        <v/>
      </c>
      <c r="H19" s="65" t="inlineStr">
        <is>
          <t>FALSE</t>
        </is>
      </c>
      <c r="I19" s="65" t="inlineStr">
        <is>
          <t>baking; troubleshooting; cookies</t>
        </is>
      </c>
    </row>
    <row r="20" ht="15" customHeight="1" s="38">
      <c r="A20" s="65" t="inlineStr">
        <is>
          <t>tom-okafor</t>
        </is>
      </c>
      <c r="B20" s="65" t="inlineStr">
        <is>
          <t>My $400 Desk Setup (No Sponsor)</t>
        </is>
      </c>
      <c r="C20" s="65" t="n">
        <v>9</v>
      </c>
      <c r="D20" s="66" t="n">
        <v>6100</v>
      </c>
      <c r="E20" s="66" t="n">
        <v>540</v>
      </c>
      <c r="F20" s="66" t="n">
        <v>92</v>
      </c>
      <c r="G20" s="67">
        <f>(E20+F20)/D20</f>
        <v/>
      </c>
      <c r="H20" s="65" t="inlineStr">
        <is>
          <t>FALSE</t>
        </is>
      </c>
      <c r="I20" s="65" t="inlineStr">
        <is>
          <t>desk-setup; budget; workspace</t>
        </is>
      </c>
    </row>
    <row r="21" ht="15" customHeight="1" s="38">
      <c r="A21" s="65" t="inlineStr">
        <is>
          <t>tom-okafor</t>
        </is>
      </c>
      <c r="B21" s="65" t="inlineStr">
        <is>
          <t>Cheap Monitor Arms - Which One Bends?</t>
        </is>
      </c>
      <c r="C21" s="65" t="n">
        <v>18</v>
      </c>
      <c r="D21" s="66" t="n">
        <v>4800</v>
      </c>
      <c r="E21" s="66" t="n">
        <v>420</v>
      </c>
      <c r="F21" s="66" t="n">
        <v>71</v>
      </c>
      <c r="G21" s="67">
        <f>(E21+F21)/D21</f>
        <v/>
      </c>
      <c r="H21" s="65" t="inlineStr">
        <is>
          <t>FALSE</t>
        </is>
      </c>
      <c r="I21" s="65" t="inlineStr">
        <is>
          <t>accessories; stress-test</t>
        </is>
      </c>
    </row>
    <row r="22" ht="15" customHeight="1" s="38">
      <c r="A22" s="65" t="inlineStr">
        <is>
          <t>tom-okafor</t>
        </is>
      </c>
      <c r="B22" s="65" t="inlineStr">
        <is>
          <t>I Replaced My Mouse With a Trackball for a Month</t>
        </is>
      </c>
      <c r="C22" s="65" t="n">
        <v>27</v>
      </c>
      <c r="D22" s="66" t="n">
        <v>5300</v>
      </c>
      <c r="E22" s="66" t="n">
        <v>470</v>
      </c>
      <c r="F22" s="66" t="n">
        <v>80</v>
      </c>
      <c r="G22" s="67">
        <f>(E22+F22)/D22</f>
        <v/>
      </c>
      <c r="H22" s="65" t="inlineStr">
        <is>
          <t>TRUE</t>
        </is>
      </c>
      <c r="I22" s="65" t="inlineStr">
        <is>
          <t>peripherals; long-term-test</t>
        </is>
      </c>
    </row>
    <row r="23" ht="15" customHeight="1" s="38">
      <c r="A23" s="65" t="inlineStr">
        <is>
          <t>hannah-weiss</t>
        </is>
      </c>
      <c r="B23" s="65" t="inlineStr">
        <is>
          <t>Deadlift Form Check - 12 Viewers Submitted</t>
        </is>
      </c>
      <c r="C23" s="65" t="n">
        <v>5</v>
      </c>
      <c r="D23" s="66" t="n">
        <v>7400</v>
      </c>
      <c r="E23" s="66" t="n">
        <v>760</v>
      </c>
      <c r="F23" s="66" t="n">
        <v>130</v>
      </c>
      <c r="G23" s="67">
        <f>(E23+F23)/D23</f>
        <v/>
      </c>
      <c r="H23" s="65" t="inlineStr">
        <is>
          <t>FALSE</t>
        </is>
      </c>
      <c r="I23" s="65" t="inlineStr">
        <is>
          <t>strength; form; community</t>
        </is>
      </c>
    </row>
    <row r="24" ht="15" customHeight="1" s="38">
      <c r="A24" s="65" t="inlineStr">
        <is>
          <t>hannah-weiss</t>
        </is>
      </c>
      <c r="B24" s="65" t="inlineStr">
        <is>
          <t>What Progressive Overload Actually Means</t>
        </is>
      </c>
      <c r="C24" s="65" t="n">
        <v>15</v>
      </c>
      <c r="D24" s="66" t="n">
        <v>6200</v>
      </c>
      <c r="E24" s="66" t="n">
        <v>630</v>
      </c>
      <c r="F24" s="66" t="n">
        <v>105</v>
      </c>
      <c r="G24" s="67">
        <f>(E24+F24)/D24</f>
        <v/>
      </c>
      <c r="H24" s="65" t="inlineStr">
        <is>
          <t>FALSE</t>
        </is>
      </c>
      <c r="I24" s="65" t="inlineStr">
        <is>
          <t>training-theory; explainer</t>
        </is>
      </c>
    </row>
    <row r="25" ht="15" customHeight="1" s="38">
      <c r="A25" s="65" t="inlineStr">
        <is>
          <t>hannah-weiss</t>
        </is>
      </c>
      <c r="B25" s="65" t="inlineStr">
        <is>
          <t>I Trained Like a Powerlifter for 8 Weeks</t>
        </is>
      </c>
      <c r="C25" s="65" t="n">
        <v>24</v>
      </c>
      <c r="D25" s="66" t="n">
        <v>6900</v>
      </c>
      <c r="E25" s="66" t="n">
        <v>700</v>
      </c>
      <c r="F25" s="66" t="n">
        <v>118</v>
      </c>
      <c r="G25" s="67">
        <f>(E25+F25)/D25</f>
        <v/>
      </c>
      <c r="H25" s="65" t="inlineStr">
        <is>
          <t>FALSE</t>
        </is>
      </c>
      <c r="I25" s="65" t="inlineStr">
        <is>
          <t>challenge; strength; program</t>
        </is>
      </c>
    </row>
    <row r="26" ht="15" customHeight="1" s="38">
      <c r="A26" s="65" t="inlineStr">
        <is>
          <t>luis-moreno</t>
        </is>
      </c>
      <c r="B26" s="65" t="inlineStr">
        <is>
          <t>This Indie Horror Game Broke Me #shorts</t>
        </is>
      </c>
      <c r="C26" s="65" t="n">
        <v>3</v>
      </c>
      <c r="D26" s="66" t="n">
        <v>41000</v>
      </c>
      <c r="E26" s="66" t="n">
        <v>5900</v>
      </c>
      <c r="F26" s="66" t="n">
        <v>720</v>
      </c>
      <c r="G26" s="67">
        <f>(E26+F26)/D26</f>
        <v/>
      </c>
      <c r="H26" s="65" t="inlineStr">
        <is>
          <t>FALSE</t>
        </is>
      </c>
      <c r="I26" s="65" t="inlineStr">
        <is>
          <t>shorts; horror; indie</t>
        </is>
      </c>
    </row>
    <row r="27" ht="15" customHeight="1" s="38">
      <c r="A27" s="65" t="inlineStr">
        <is>
          <t>luis-moreno</t>
        </is>
      </c>
      <c r="B27" s="65" t="inlineStr">
        <is>
          <t>60 Seconds of the Best Indie Platformer</t>
        </is>
      </c>
      <c r="C27" s="65" t="n">
        <v>8</v>
      </c>
      <c r="D27" s="66" t="n">
        <v>18000</v>
      </c>
      <c r="E27" s="66" t="n">
        <v>2400</v>
      </c>
      <c r="F27" s="66" t="n">
        <v>310</v>
      </c>
      <c r="G27" s="67">
        <f>(E27+F27)/D27</f>
        <v/>
      </c>
      <c r="H27" s="65" t="inlineStr">
        <is>
          <t>FALSE</t>
        </is>
      </c>
      <c r="I27" s="65" t="inlineStr">
        <is>
          <t>shorts; platformer; indie</t>
        </is>
      </c>
    </row>
    <row r="28" ht="15" customHeight="1" s="38">
      <c r="A28" s="65" t="inlineStr">
        <is>
          <t>luis-moreno</t>
        </is>
      </c>
      <c r="B28" s="65" t="inlineStr">
        <is>
          <t>Full Playthrough: A Game Nobody Talks About</t>
        </is>
      </c>
      <c r="C28" s="65" t="n">
        <v>19</v>
      </c>
      <c r="D28" s="66" t="n">
        <v>7200</v>
      </c>
      <c r="E28" s="66" t="n">
        <v>890</v>
      </c>
      <c r="F28" s="66" t="n">
        <v>140</v>
      </c>
      <c r="G28" s="67">
        <f>(E28+F28)/D28</f>
        <v/>
      </c>
      <c r="H28" s="65" t="inlineStr">
        <is>
          <t>FALSE</t>
        </is>
      </c>
      <c r="I28" s="65" t="inlineStr">
        <is>
          <t>long-form; indie; playthrough</t>
        </is>
      </c>
    </row>
    <row r="29" ht="15" customHeight="1" s="38">
      <c r="A29" s="65" t="inlineStr">
        <is>
          <t>nia-thompson</t>
        </is>
      </c>
      <c r="B29" s="65" t="inlineStr">
        <is>
          <t>Thrift Flip: $12 Blazer to Office-Ready</t>
        </is>
      </c>
      <c r="C29" s="65" t="n">
        <v>6</v>
      </c>
      <c r="D29" s="66" t="n">
        <v>23000</v>
      </c>
      <c r="E29" s="66" t="n">
        <v>1600</v>
      </c>
      <c r="F29" s="66" t="n">
        <v>210</v>
      </c>
      <c r="G29" s="67">
        <f>(E29+F29)/D29</f>
        <v/>
      </c>
      <c r="H29" s="65" t="inlineStr">
        <is>
          <t>FALSE</t>
        </is>
      </c>
      <c r="I29" s="65" t="inlineStr">
        <is>
          <t>thrifting; styling; diy</t>
        </is>
      </c>
    </row>
    <row r="30" ht="15" customHeight="1" s="38">
      <c r="A30" s="65" t="inlineStr">
        <is>
          <t>nia-thompson</t>
        </is>
      </c>
      <c r="B30" s="65" t="inlineStr">
        <is>
          <t>I Wore the Same 10 Pieces for a Month</t>
        </is>
      </c>
      <c r="C30" s="65" t="n">
        <v>14</v>
      </c>
      <c r="D30" s="66" t="n">
        <v>17000</v>
      </c>
      <c r="E30" s="66" t="n">
        <v>1200</v>
      </c>
      <c r="F30" s="66" t="n">
        <v>155</v>
      </c>
      <c r="G30" s="67">
        <f>(E30+F30)/D30</f>
        <v/>
      </c>
      <c r="H30" s="65" t="inlineStr">
        <is>
          <t>TRUE</t>
        </is>
      </c>
      <c r="I30" s="65" t="inlineStr">
        <is>
          <t>capsule-wardrobe; challenge</t>
        </is>
      </c>
    </row>
    <row r="31" ht="15" customHeight="1" s="38">
      <c r="A31" s="65" t="inlineStr">
        <is>
          <t>nia-thompson</t>
        </is>
      </c>
      <c r="B31" s="65" t="inlineStr">
        <is>
          <t>Fabric Labels Explained (Stop Buying Bad Knits)</t>
        </is>
      </c>
      <c r="C31" s="65" t="n">
        <v>23</v>
      </c>
      <c r="D31" s="66" t="n">
        <v>18000</v>
      </c>
      <c r="E31" s="66" t="n">
        <v>1250</v>
      </c>
      <c r="F31" s="66" t="n">
        <v>165</v>
      </c>
      <c r="G31" s="67">
        <f>(E31+F31)/D31</f>
        <v/>
      </c>
      <c r="H31" s="65" t="inlineStr">
        <is>
          <t>FALSE</t>
        </is>
      </c>
      <c r="I31" s="65" t="inlineStr">
        <is>
          <t>explainer; fabric; shopping</t>
        </is>
      </c>
    </row>
    <row r="32" ht="15" customHeight="1" s="38">
      <c r="A32" s="65" t="inlineStr">
        <is>
          <t>kenji-watanabe</t>
        </is>
      </c>
      <c r="B32" s="65" t="inlineStr">
        <is>
          <t>I Built a Touring Bike for Under $600</t>
        </is>
      </c>
      <c r="C32" s="65" t="n">
        <v>7</v>
      </c>
      <c r="D32" s="66" t="n">
        <v>39000</v>
      </c>
      <c r="E32" s="66" t="n">
        <v>3200</v>
      </c>
      <c r="F32" s="66" t="n">
        <v>480</v>
      </c>
      <c r="G32" s="67">
        <f>(E32+F32)/D32</f>
        <v/>
      </c>
      <c r="H32" s="65" t="inlineStr">
        <is>
          <t>FALSE</t>
        </is>
      </c>
      <c r="I32" s="65" t="inlineStr">
        <is>
          <t>build; budget; touring</t>
        </is>
      </c>
    </row>
    <row r="33" ht="15" customHeight="1" s="38">
      <c r="A33" s="65" t="inlineStr">
        <is>
          <t>kenji-watanabe</t>
        </is>
      </c>
      <c r="B33" s="65" t="inlineStr">
        <is>
          <t>3,000 Miles on One Tire - Teardown</t>
        </is>
      </c>
      <c r="C33" s="65" t="n">
        <v>16</v>
      </c>
      <c r="D33" s="66" t="n">
        <v>30000</v>
      </c>
      <c r="E33" s="66" t="n">
        <v>2400</v>
      </c>
      <c r="F33" s="66" t="n">
        <v>360</v>
      </c>
      <c r="G33" s="67">
        <f>(E33+F33)/D33</f>
        <v/>
      </c>
      <c r="H33" s="65" t="inlineStr">
        <is>
          <t>FALSE</t>
        </is>
      </c>
      <c r="I33" s="65" t="inlineStr">
        <is>
          <t>durability; teardown; gear</t>
        </is>
      </c>
    </row>
    <row r="34" ht="15" customHeight="1" s="38">
      <c r="A34" s="65" t="inlineStr">
        <is>
          <t>kenji-watanabe</t>
        </is>
      </c>
      <c r="B34" s="65" t="inlineStr">
        <is>
          <t>Why Your Bike Fit Hurts (Measured on Camera)</t>
        </is>
      </c>
      <c r="C34" s="65" t="n">
        <v>26</v>
      </c>
      <c r="D34" s="66" t="n">
        <v>31000</v>
      </c>
      <c r="E34" s="66" t="n">
        <v>2500</v>
      </c>
      <c r="F34" s="66" t="n">
        <v>390</v>
      </c>
      <c r="G34" s="67">
        <f>(E34+F34)/D34</f>
        <v/>
      </c>
      <c r="H34" s="65" t="inlineStr">
        <is>
          <t>TRUE</t>
        </is>
      </c>
      <c r="I34" s="65" t="inlineStr">
        <is>
          <t>fitting; how-to; ergonomics</t>
        </is>
      </c>
    </row>
    <row r="35" ht="15" customHeight="1" s="38">
      <c r="A35" s="65" t="inlineStr">
        <is>
          <t>amara-osei</t>
        </is>
      </c>
      <c r="B35" s="65" t="inlineStr">
        <is>
          <t>Our Toddler Bedtime Routine That Finally Worked</t>
        </is>
      </c>
      <c r="C35" s="65" t="n">
        <v>8</v>
      </c>
      <c r="D35" s="66" t="n">
        <v>13000</v>
      </c>
      <c r="E35" s="66" t="n">
        <v>690</v>
      </c>
      <c r="F35" s="66" t="n">
        <v>105</v>
      </c>
      <c r="G35" s="67">
        <f>(E35+F35)/D35</f>
        <v/>
      </c>
      <c r="H35" s="65" t="inlineStr">
        <is>
          <t>FALSE</t>
        </is>
      </c>
      <c r="I35" s="65" t="inlineStr">
        <is>
          <t>routine; toddler; sleep</t>
        </is>
      </c>
    </row>
    <row r="36" ht="15" customHeight="1" s="38">
      <c r="A36" s="65" t="inlineStr">
        <is>
          <t>amara-osei</t>
        </is>
      </c>
      <c r="B36" s="65" t="inlineStr">
        <is>
          <t>What's Actually in My Diaper Bag</t>
        </is>
      </c>
      <c r="C36" s="65" t="n">
        <v>18</v>
      </c>
      <c r="D36" s="66" t="n">
        <v>9800</v>
      </c>
      <c r="E36" s="66" t="n">
        <v>520</v>
      </c>
      <c r="F36" s="66" t="n">
        <v>82</v>
      </c>
      <c r="G36" s="67">
        <f>(E36+F36)/D36</f>
        <v/>
      </c>
      <c r="H36" s="65" t="inlineStr">
        <is>
          <t>TRUE</t>
        </is>
      </c>
      <c r="I36" s="65" t="inlineStr">
        <is>
          <t>haul; baby-gear; essentials</t>
        </is>
      </c>
    </row>
    <row r="37" ht="15" customHeight="1" s="38">
      <c r="A37" s="65" t="inlineStr">
        <is>
          <t>amara-osei</t>
        </is>
      </c>
      <c r="B37" s="65" t="inlineStr">
        <is>
          <t>Meal Prep for Picky Eaters (Real Portions)</t>
        </is>
      </c>
      <c r="C37" s="65" t="n">
        <v>28</v>
      </c>
      <c r="D37" s="66" t="n">
        <v>10500</v>
      </c>
      <c r="E37" s="66" t="n">
        <v>560</v>
      </c>
      <c r="F37" s="66" t="n">
        <v>90</v>
      </c>
      <c r="G37" s="67">
        <f>(E37+F37)/D37</f>
        <v/>
      </c>
      <c r="H37" s="65" t="inlineStr">
        <is>
          <t>FALSE</t>
        </is>
      </c>
      <c r="I37" s="65" t="inlineStr">
        <is>
          <t>meal-prep; kids; food</t>
        </is>
      </c>
    </row>
    <row r="38" ht="15" customHeight="1" s="38">
      <c r="A38" s="65" t="inlineStr">
        <is>
          <t>ryan-novak</t>
        </is>
      </c>
      <c r="B38" s="65" t="inlineStr">
        <is>
          <t>How I'd Invest $1,000 Right Now</t>
        </is>
      </c>
      <c r="C38" s="65" t="n">
        <v>4</v>
      </c>
      <c r="D38" s="66" t="n">
        <v>29000</v>
      </c>
      <c r="E38" s="66" t="n">
        <v>1150</v>
      </c>
      <c r="F38" s="66" t="n">
        <v>240</v>
      </c>
      <c r="G38" s="67">
        <f>(E38+F38)/D38</f>
        <v/>
      </c>
      <c r="H38" s="65" t="inlineStr">
        <is>
          <t>FALSE</t>
        </is>
      </c>
      <c r="I38" s="65" t="inlineStr">
        <is>
          <t>investing; beginner; claims-risk</t>
        </is>
      </c>
    </row>
    <row r="39" ht="15" customHeight="1" s="38">
      <c r="A39" s="65" t="inlineStr">
        <is>
          <t>ryan-novak</t>
        </is>
      </c>
      <c r="B39" s="65" t="inlineStr">
        <is>
          <t>This Savings Account Trick Is Free Money</t>
        </is>
      </c>
      <c r="C39" s="65" t="n">
        <v>13</v>
      </c>
      <c r="D39" s="66" t="n">
        <v>21000</v>
      </c>
      <c r="E39" s="66" t="n">
        <v>850</v>
      </c>
      <c r="F39" s="66" t="n">
        <v>180</v>
      </c>
      <c r="G39" s="67">
        <f>(E39+F39)/D39</f>
        <v/>
      </c>
      <c r="H39" s="65" t="inlineStr">
        <is>
          <t>TRUE</t>
        </is>
      </c>
      <c r="I39" s="65" t="inlineStr">
        <is>
          <t>savings; claims-risk; banking</t>
        </is>
      </c>
    </row>
    <row r="40" ht="15" customHeight="1" s="38">
      <c r="A40" s="65" t="inlineStr">
        <is>
          <t>ryan-novak</t>
        </is>
      </c>
      <c r="B40" s="65" t="inlineStr">
        <is>
          <t>Roth IRA Explained Without the Jargon</t>
        </is>
      </c>
      <c r="C40" s="65" t="n">
        <v>24</v>
      </c>
      <c r="D40" s="66" t="n">
        <v>22000</v>
      </c>
      <c r="E40" s="66" t="n">
        <v>890</v>
      </c>
      <c r="F40" s="66" t="n">
        <v>195</v>
      </c>
      <c r="G40" s="67">
        <f>(E40+F40)/D40</f>
        <v/>
      </c>
      <c r="H40" s="65" t="inlineStr">
        <is>
          <t>FALSE</t>
        </is>
      </c>
      <c r="I40" s="65" t="inlineStr">
        <is>
          <t>retirement; explainer</t>
        </is>
      </c>
    </row>
    <row r="41" ht="15" customHeight="1" s="38">
      <c r="A41" s="65" t="inlineStr">
        <is>
          <t>chloe-baptiste</t>
        </is>
      </c>
      <c r="B41" s="65" t="inlineStr">
        <is>
          <t>Retinol: What the Studies Actually Say</t>
        </is>
      </c>
      <c r="C41" s="65" t="n">
        <v>5</v>
      </c>
      <c r="D41" s="66" t="n">
        <v>31000</v>
      </c>
      <c r="E41" s="66" t="n">
        <v>2300</v>
      </c>
      <c r="F41" s="66" t="n">
        <v>340</v>
      </c>
      <c r="G41" s="67">
        <f>(E41+F41)/D41</f>
        <v/>
      </c>
      <c r="H41" s="65" t="inlineStr">
        <is>
          <t>FALSE</t>
        </is>
      </c>
      <c r="I41" s="65" t="inlineStr">
        <is>
          <t>skincare; science; claims-risk</t>
        </is>
      </c>
    </row>
    <row r="42" ht="15" customHeight="1" s="38">
      <c r="A42" s="65" t="inlineStr">
        <is>
          <t>chloe-baptiste</t>
        </is>
      </c>
      <c r="B42" s="65" t="inlineStr">
        <is>
          <t>I Patch-Tested 8 Vitamin C Serums</t>
        </is>
      </c>
      <c r="C42" s="65" t="n">
        <v>15</v>
      </c>
      <c r="D42" s="66" t="n">
        <v>24000</v>
      </c>
      <c r="E42" s="66" t="n">
        <v>1800</v>
      </c>
      <c r="F42" s="66" t="n">
        <v>265</v>
      </c>
      <c r="G42" s="67">
        <f>(E42+F42)/D42</f>
        <v/>
      </c>
      <c r="H42" s="65" t="inlineStr">
        <is>
          <t>TRUE</t>
        </is>
      </c>
      <c r="I42" s="65" t="inlineStr">
        <is>
          <t>comparison; serum; claims-risk</t>
        </is>
      </c>
    </row>
    <row r="43" ht="15" customHeight="1" s="38">
      <c r="A43" s="65" t="inlineStr">
        <is>
          <t>chloe-baptiste</t>
        </is>
      </c>
      <c r="B43" s="65" t="inlineStr">
        <is>
          <t>Your Moisturizer Isn't the Problem</t>
        </is>
      </c>
      <c r="C43" s="65" t="n">
        <v>25</v>
      </c>
      <c r="D43" s="66" t="n">
        <v>23000</v>
      </c>
      <c r="E43" s="66" t="n">
        <v>1700</v>
      </c>
      <c r="F43" s="66" t="n">
        <v>250</v>
      </c>
      <c r="G43" s="67">
        <f>(E43+F43)/D43</f>
        <v/>
      </c>
      <c r="H43" s="65" t="inlineStr">
        <is>
          <t>FALSE</t>
        </is>
      </c>
      <c r="I43" s="65" t="inlineStr">
        <is>
          <t>skincare; myth-busting</t>
        </is>
      </c>
    </row>
    <row r="44" ht="15" customHeight="1" s="38">
      <c r="A44" s="65" t="inlineStr">
        <is>
          <t>marcus-hale</t>
        </is>
      </c>
      <c r="B44" s="65" t="inlineStr">
        <is>
          <t>Reacting to the Worst Game Launches</t>
        </is>
      </c>
      <c r="C44" s="65" t="n">
        <v>3</v>
      </c>
      <c r="D44" s="66" t="n">
        <v>33000</v>
      </c>
      <c r="E44" s="66" t="n">
        <v>1050</v>
      </c>
      <c r="F44" s="66" t="n">
        <v>260</v>
      </c>
      <c r="G44" s="67">
        <f>(E44+F44)/D44</f>
        <v/>
      </c>
      <c r="H44" s="65" t="inlineStr">
        <is>
          <t>FALSE</t>
        </is>
      </c>
      <c r="I44" s="65" t="inlineStr">
        <is>
          <t>reaction; commentary; drama</t>
        </is>
      </c>
    </row>
    <row r="45" ht="15" customHeight="1" s="38">
      <c r="A45" s="65" t="inlineStr">
        <is>
          <t>marcus-hale</t>
        </is>
      </c>
      <c r="B45" s="65" t="inlineStr">
        <is>
          <t>Drama Recap: What Happened This Week</t>
        </is>
      </c>
      <c r="C45" s="65" t="n">
        <v>11</v>
      </c>
      <c r="D45" s="66" t="n">
        <v>26000</v>
      </c>
      <c r="E45" s="66" t="n">
        <v>830</v>
      </c>
      <c r="F45" s="66" t="n">
        <v>210</v>
      </c>
      <c r="G45" s="67">
        <f>(E45+F45)/D45</f>
        <v/>
      </c>
      <c r="H45" s="65" t="inlineStr">
        <is>
          <t>FALSE</t>
        </is>
      </c>
      <c r="I45" s="65" t="inlineStr">
        <is>
          <t>drama; commentary; brand-risk</t>
        </is>
      </c>
    </row>
    <row r="46" ht="15" customHeight="1" s="38">
      <c r="A46" s="65" t="inlineStr">
        <is>
          <t>marcus-hale</t>
        </is>
      </c>
      <c r="B46" s="65" t="inlineStr">
        <is>
          <t>I Rage Quit 10 Games in a Row</t>
        </is>
      </c>
      <c r="C46" s="65" t="n">
        <v>20</v>
      </c>
      <c r="D46" s="66" t="n">
        <v>25000</v>
      </c>
      <c r="E46" s="66" t="n">
        <v>800</v>
      </c>
      <c r="F46" s="66" t="n">
        <v>195</v>
      </c>
      <c r="G46" s="67">
        <f>(E46+F46)/D46</f>
        <v/>
      </c>
      <c r="H46" s="65" t="inlineStr">
        <is>
          <t>TRUE</t>
        </is>
      </c>
      <c r="I46" s="65" t="inlineStr">
        <is>
          <t>reaction; language-risk</t>
        </is>
      </c>
    </row>
    <row r="47" ht="15" customHeight="1" s="38">
      <c r="A47" s="65" t="inlineStr">
        <is>
          <t>elena-rossi</t>
        </is>
      </c>
      <c r="B47" s="65" t="inlineStr">
        <is>
          <t>Real Cacio e Pepe (Nonna Tested)</t>
        </is>
      </c>
      <c r="C47" s="65" t="n">
        <v>6</v>
      </c>
      <c r="D47" s="66" t="n">
        <v>102000</v>
      </c>
      <c r="E47" s="66" t="n">
        <v>6200</v>
      </c>
      <c r="F47" s="66" t="n">
        <v>850</v>
      </c>
      <c r="G47" s="67">
        <f>(E47+F47)/D47</f>
        <v/>
      </c>
      <c r="H47" s="65" t="inlineStr">
        <is>
          <t>FALSE</t>
        </is>
      </c>
      <c r="I47" s="65" t="inlineStr">
        <is>
          <t>recipe; italian; technique</t>
        </is>
      </c>
    </row>
    <row r="48" ht="15" customHeight="1" s="38">
      <c r="A48" s="65" t="inlineStr">
        <is>
          <t>elena-rossi</t>
        </is>
      </c>
      <c r="B48" s="65" t="inlineStr">
        <is>
          <t>Every Pasta Shape and What It's For</t>
        </is>
      </c>
      <c r="C48" s="65" t="n">
        <v>15</v>
      </c>
      <c r="D48" s="66" t="n">
        <v>83000</v>
      </c>
      <c r="E48" s="66" t="n">
        <v>5000</v>
      </c>
      <c r="F48" s="66" t="n">
        <v>690</v>
      </c>
      <c r="G48" s="67">
        <f>(E48+F48)/D48</f>
        <v/>
      </c>
      <c r="H48" s="65" t="inlineStr">
        <is>
          <t>FALSE</t>
        </is>
      </c>
      <c r="I48" s="65" t="inlineStr">
        <is>
          <t>explainer; pasta; reference</t>
        </is>
      </c>
    </row>
    <row r="49" ht="15" customHeight="1" s="38">
      <c r="A49" s="65" t="inlineStr">
        <is>
          <t>elena-rossi</t>
        </is>
      </c>
      <c r="B49" s="65" t="inlineStr">
        <is>
          <t>I Made Pasta With Supermarket Flour Only</t>
        </is>
      </c>
      <c r="C49" s="65" t="n">
        <v>25</v>
      </c>
      <c r="D49" s="66" t="n">
        <v>79000</v>
      </c>
      <c r="E49" s="66" t="n">
        <v>4800</v>
      </c>
      <c r="F49" s="66" t="n">
        <v>660</v>
      </c>
      <c r="G49" s="67">
        <f>(E49+F49)/D49</f>
        <v/>
      </c>
      <c r="H49" s="65" t="inlineStr">
        <is>
          <t>TRUE</t>
        </is>
      </c>
      <c r="I49" s="65" t="inlineStr">
        <is>
          <t>experiment; pantry; pasta</t>
        </is>
      </c>
    </row>
    <row r="50" ht="15" customHeight="1" s="38">
      <c r="A50" s="65" t="inlineStr">
        <is>
          <t>devon-clarke</t>
        </is>
      </c>
      <c r="B50" s="65" t="inlineStr">
        <is>
          <t>12-Week Transformation - Honest Numbers</t>
        </is>
      </c>
      <c r="C50" s="65" t="n">
        <v>7</v>
      </c>
      <c r="D50" s="66" t="n">
        <v>47000</v>
      </c>
      <c r="E50" s="66" t="n">
        <v>1800</v>
      </c>
      <c r="F50" s="66" t="n">
        <v>340</v>
      </c>
      <c r="G50" s="67">
        <f>(E50+F50)/D50</f>
        <v/>
      </c>
      <c r="H50" s="65" t="inlineStr">
        <is>
          <t>TRUE</t>
        </is>
      </c>
      <c r="I50" s="65" t="inlineStr">
        <is>
          <t>transformation; claims-risk</t>
        </is>
      </c>
    </row>
    <row r="51" ht="15" customHeight="1" s="38">
      <c r="A51" s="65" t="inlineStr">
        <is>
          <t>devon-clarke</t>
        </is>
      </c>
      <c r="B51" s="65" t="inlineStr">
        <is>
          <t>The Only 4 Lifts You Need</t>
        </is>
      </c>
      <c r="C51" s="65" t="n">
        <v>17</v>
      </c>
      <c r="D51" s="66" t="n">
        <v>38000</v>
      </c>
      <c r="E51" s="66" t="n">
        <v>1450</v>
      </c>
      <c r="F51" s="66" t="n">
        <v>270</v>
      </c>
      <c r="G51" s="67">
        <f>(E51+F51)/D51</f>
        <v/>
      </c>
      <c r="H51" s="65" t="inlineStr">
        <is>
          <t>FALSE</t>
        </is>
      </c>
      <c r="I51" s="65" t="inlineStr">
        <is>
          <t>strength; program</t>
        </is>
      </c>
    </row>
    <row r="52" ht="15" customHeight="1" s="38">
      <c r="A52" s="65" t="inlineStr">
        <is>
          <t>devon-clarke</t>
        </is>
      </c>
      <c r="B52" s="65" t="inlineStr">
        <is>
          <t>I Tried the Viral 75 Hard Challenge</t>
        </is>
      </c>
      <c r="C52" s="65" t="n">
        <v>27</v>
      </c>
      <c r="D52" s="66" t="n">
        <v>39000</v>
      </c>
      <c r="E52" s="66" t="n">
        <v>1500</v>
      </c>
      <c r="F52" s="66" t="n">
        <v>280</v>
      </c>
      <c r="G52" s="67">
        <f>(E52+F52)/D52</f>
        <v/>
      </c>
      <c r="H52" s="65" t="inlineStr">
        <is>
          <t>FALSE</t>
        </is>
      </c>
      <c r="I52" s="65" t="inlineStr">
        <is>
          <t>challenge; trend</t>
        </is>
      </c>
    </row>
    <row r="53" ht="15" customHeight="1" s="38">
      <c r="A53" s="65" t="inlineStr">
        <is>
          <t>yuki-tanaka</t>
        </is>
      </c>
      <c r="B53" s="65" t="inlineStr">
        <is>
          <t>Flagship Phone Teardown - What You're Paying For</t>
        </is>
      </c>
      <c r="C53" s="65" t="n">
        <v>4</v>
      </c>
      <c r="D53" s="66" t="n">
        <v>181000</v>
      </c>
      <c r="E53" s="66" t="n">
        <v>8900</v>
      </c>
      <c r="F53" s="66" t="n">
        <v>1400</v>
      </c>
      <c r="G53" s="67">
        <f>(E53+F53)/D53</f>
        <v/>
      </c>
      <c r="H53" s="65" t="inlineStr">
        <is>
          <t>FALSE</t>
        </is>
      </c>
      <c r="I53" s="65" t="inlineStr">
        <is>
          <t>teardown; phone; analysis</t>
        </is>
      </c>
    </row>
    <row r="54" ht="15" customHeight="1" s="38">
      <c r="A54" s="65" t="inlineStr">
        <is>
          <t>yuki-tanaka</t>
        </is>
      </c>
      <c r="B54" s="65" t="inlineStr">
        <is>
          <t>I Used a Japan-Only Laptop for 30 Days</t>
        </is>
      </c>
      <c r="C54" s="65" t="n">
        <v>14</v>
      </c>
      <c r="D54" s="66" t="n">
        <v>142000</v>
      </c>
      <c r="E54" s="66" t="n">
        <v>7000</v>
      </c>
      <c r="F54" s="66" t="n">
        <v>1100</v>
      </c>
      <c r="G54" s="67">
        <f>(E54+F54)/D54</f>
        <v/>
      </c>
      <c r="H54" s="65" t="inlineStr">
        <is>
          <t>TRUE</t>
        </is>
      </c>
      <c r="I54" s="65" t="inlineStr">
        <is>
          <t>laptop; import; long-term-test</t>
        </is>
      </c>
    </row>
    <row r="55" ht="15" customHeight="1" s="38">
      <c r="A55" s="65" t="inlineStr">
        <is>
          <t>yuki-tanaka</t>
        </is>
      </c>
      <c r="B55" s="65" t="inlineStr">
        <is>
          <t>Every Fast Charger Tested With a Meter</t>
        </is>
      </c>
      <c r="C55" s="65" t="n">
        <v>23</v>
      </c>
      <c r="D55" s="66" t="n">
        <v>149000</v>
      </c>
      <c r="E55" s="66" t="n">
        <v>7300</v>
      </c>
      <c r="F55" s="66" t="n">
        <v>1180</v>
      </c>
      <c r="G55" s="67">
        <f>(E55+F55)/D55</f>
        <v/>
      </c>
      <c r="H55" s="65" t="inlineStr">
        <is>
          <t>FALSE</t>
        </is>
      </c>
      <c r="I55" s="65" t="inlineStr">
        <is>
          <t>accessories; testing; explainer</t>
        </is>
      </c>
    </row>
    <row r="56" ht="15" customHeight="1" s="38">
      <c r="A56" s="65" t="inlineStr">
        <is>
          <t>isabel-cruz</t>
        </is>
      </c>
      <c r="B56" s="65" t="inlineStr">
        <is>
          <t>Cafe Drinks You Can Actually Make at Home</t>
        </is>
      </c>
      <c r="C56" s="65" t="n">
        <v>5</v>
      </c>
      <c r="D56" s="66" t="n">
        <v>89000</v>
      </c>
      <c r="E56" s="66" t="n">
        <v>7500</v>
      </c>
      <c r="F56" s="66" t="n">
        <v>1050</v>
      </c>
      <c r="G56" s="67">
        <f>(E56+F56)/D56</f>
        <v/>
      </c>
      <c r="H56" s="65" t="inlineStr">
        <is>
          <t>FALSE</t>
        </is>
      </c>
      <c r="I56" s="65" t="inlineStr">
        <is>
          <t>coffee; recipe; home-cafe</t>
        </is>
      </c>
    </row>
    <row r="57" ht="15" customHeight="1" s="38">
      <c r="A57" s="65" t="inlineStr">
        <is>
          <t>isabel-cruz</t>
        </is>
      </c>
      <c r="B57" s="65" t="inlineStr">
        <is>
          <t>I Tested 5 Home Espresso Machines Under $500</t>
        </is>
      </c>
      <c r="C57" s="65" t="n">
        <v>14</v>
      </c>
      <c r="D57" s="66" t="n">
        <v>71000</v>
      </c>
      <c r="E57" s="66" t="n">
        <v>6000</v>
      </c>
      <c r="F57" s="66" t="n">
        <v>880</v>
      </c>
      <c r="G57" s="67">
        <f>(E57+F57)/D57</f>
        <v/>
      </c>
      <c r="H57" s="65" t="inlineStr">
        <is>
          <t>TRUE</t>
        </is>
      </c>
      <c r="I57" s="65" t="inlineStr">
        <is>
          <t>gear; comparison; espresso</t>
        </is>
      </c>
    </row>
    <row r="58" ht="15" customHeight="1" s="38">
      <c r="A58" s="65" t="inlineStr">
        <is>
          <t>isabel-cruz</t>
        </is>
      </c>
      <c r="B58" s="65" t="inlineStr">
        <is>
          <t>Why Your Latte Art Collapses</t>
        </is>
      </c>
      <c r="C58" s="65" t="n">
        <v>24</v>
      </c>
      <c r="D58" s="66" t="n">
        <v>68000</v>
      </c>
      <c r="E58" s="66" t="n">
        <v>5700</v>
      </c>
      <c r="F58" s="66" t="n">
        <v>830</v>
      </c>
      <c r="G58" s="67">
        <f>(E58+F58)/D58</f>
        <v/>
      </c>
      <c r="H58" s="65" t="inlineStr">
        <is>
          <t>FALSE</t>
        </is>
      </c>
      <c r="I58" s="65" t="inlineStr">
        <is>
          <t>technique; troubleshooting; milk</t>
        </is>
      </c>
    </row>
    <row r="59">
      <c r="A59" s="65" t="inlineStr">
        <is>
          <t>cara-nolan</t>
        </is>
      </c>
      <c r="B59" s="65" t="inlineStr">
        <is>
          <t>I Ranked 6 Supermarket Olive Oils</t>
        </is>
      </c>
      <c r="C59" s="65" t="n">
        <v>8</v>
      </c>
      <c r="D59" s="66" t="n">
        <v>40000</v>
      </c>
      <c r="E59" s="66" t="n">
        <v>2620</v>
      </c>
      <c r="F59" s="66" t="n">
        <v>290</v>
      </c>
      <c r="G59" s="67">
        <f>(E59+F59)/D59</f>
        <v/>
      </c>
      <c r="H59" s="65" t="inlineStr">
        <is>
          <t>TRUE</t>
        </is>
      </c>
      <c r="I59" s="65" t="inlineStr">
        <is>
          <t>comparison; grocery; taste-test</t>
        </is>
      </c>
    </row>
    <row r="60" ht="15" customHeight="1" s="38">
      <c r="A60" s="65" t="inlineStr">
        <is>
          <t>cara-nolan</t>
        </is>
      </c>
      <c r="B60" s="65" t="inlineStr">
        <is>
          <t>The $12 Dinner I Make Every Week</t>
        </is>
      </c>
      <c r="C60" s="65" t="n">
        <v>17</v>
      </c>
      <c r="D60" s="66" t="n">
        <v>29000</v>
      </c>
      <c r="E60" s="66" t="n">
        <v>1790</v>
      </c>
      <c r="F60" s="66" t="n">
        <v>200</v>
      </c>
      <c r="G60" s="67">
        <f>(E60+F60)/D60</f>
        <v/>
      </c>
      <c r="H60" s="65" t="inlineStr">
        <is>
          <t>FALSE</t>
        </is>
      </c>
      <c r="I60" s="65" t="inlineStr">
        <is>
          <t>budget; weeknight; recipe</t>
        </is>
      </c>
    </row>
    <row r="61">
      <c r="A61" s="65" t="inlineStr">
        <is>
          <t>cara-nolan</t>
        </is>
      </c>
      <c r="B61" s="65" t="inlineStr">
        <is>
          <t>Why Your Olive Oils Tastes Bland (3 Fixes)</t>
        </is>
      </c>
      <c r="C61" s="65" t="n">
        <v>24</v>
      </c>
      <c r="D61" s="66" t="n">
        <v>34000</v>
      </c>
      <c r="E61" s="66" t="n">
        <v>2030</v>
      </c>
      <c r="F61" s="66" t="n">
        <v>225</v>
      </c>
      <c r="G61" s="67">
        <f>(E61+F61)/D61</f>
        <v/>
      </c>
      <c r="H61" s="65" t="inlineStr">
        <is>
          <t>TRUE</t>
        </is>
      </c>
      <c r="I61" s="65" t="inlineStr">
        <is>
          <t>technique; troubleshooting; kitchen</t>
        </is>
      </c>
    </row>
    <row r="62">
      <c r="A62" s="65" t="inlineStr">
        <is>
          <t>theo-mensah</t>
        </is>
      </c>
      <c r="B62" s="65" t="inlineStr">
        <is>
          <t>A Week of No-Waste Meals From One Haul</t>
        </is>
      </c>
      <c r="C62" s="65" t="n">
        <v>9</v>
      </c>
      <c r="D62" s="66" t="n">
        <v>6000</v>
      </c>
      <c r="E62" s="66" t="n">
        <v>610</v>
      </c>
      <c r="F62" s="66" t="n">
        <v>70</v>
      </c>
      <c r="G62" s="67">
        <f>(E62+F62)/D62</f>
        <v/>
      </c>
      <c r="H62" s="65" t="inlineStr">
        <is>
          <t>FALSE</t>
        </is>
      </c>
      <c r="I62" s="65" t="inlineStr">
        <is>
          <t>meal-prep; budget; zero-waste</t>
        </is>
      </c>
    </row>
    <row r="63">
      <c r="A63" s="65" t="inlineStr">
        <is>
          <t>theo-mensah</t>
        </is>
      </c>
      <c r="B63" s="65" t="inlineStr">
        <is>
          <t>Blind Taste Test: Store Brand vs Name Brand</t>
        </is>
      </c>
      <c r="C63" s="65" t="n">
        <v>16</v>
      </c>
      <c r="D63" s="66" t="n">
        <v>4000</v>
      </c>
      <c r="E63" s="66" t="n">
        <v>400</v>
      </c>
      <c r="F63" s="66" t="n">
        <v>45</v>
      </c>
      <c r="G63" s="67">
        <f>(E63+F63)/D63</f>
        <v/>
      </c>
      <c r="H63" s="65" t="inlineStr">
        <is>
          <t>FALSE</t>
        </is>
      </c>
      <c r="I63" s="65" t="inlineStr">
        <is>
          <t>taste-test; value; comparison</t>
        </is>
      </c>
    </row>
    <row r="64">
      <c r="A64" s="65" t="inlineStr">
        <is>
          <t>theo-mensah</t>
        </is>
      </c>
      <c r="B64" s="65" t="inlineStr">
        <is>
          <t>5 Pantry Staples I Won't Run Out Of</t>
        </is>
      </c>
      <c r="C64" s="65" t="n">
        <v>30</v>
      </c>
      <c r="D64" s="66" t="n">
        <v>5000</v>
      </c>
      <c r="E64" s="66" t="n">
        <v>500</v>
      </c>
      <c r="F64" s="66" t="n">
        <v>55</v>
      </c>
      <c r="G64" s="67">
        <f>(E64+F64)/D64</f>
        <v/>
      </c>
      <c r="H64" s="65" t="inlineStr">
        <is>
          <t>TRUE</t>
        </is>
      </c>
      <c r="I64" s="65" t="inlineStr">
        <is>
          <t>pantry; staples; buying-guide</t>
        </is>
      </c>
    </row>
    <row r="65">
      <c r="A65" s="65" t="inlineStr">
        <is>
          <t>bianca-ferro</t>
        </is>
      </c>
      <c r="B65" s="65" t="inlineStr">
        <is>
          <t>What Professional Kitchens Do Differently</t>
        </is>
      </c>
      <c r="C65" s="65" t="n">
        <v>4</v>
      </c>
      <c r="D65" s="66" t="n">
        <v>42000</v>
      </c>
      <c r="E65" s="66" t="n">
        <v>2490</v>
      </c>
      <c r="F65" s="66" t="n">
        <v>275</v>
      </c>
      <c r="G65" s="67">
        <f>(E65+F65)/D65</f>
        <v/>
      </c>
      <c r="H65" s="65" t="inlineStr">
        <is>
          <t>FALSE</t>
        </is>
      </c>
      <c r="I65" s="65" t="inlineStr">
        <is>
          <t>technique; pro-tips</t>
        </is>
      </c>
    </row>
    <row r="66">
      <c r="A66" s="65" t="inlineStr">
        <is>
          <t>bianca-ferro</t>
        </is>
      </c>
      <c r="B66" s="65" t="inlineStr">
        <is>
          <t>The Sauce That Saves Any Weeknight</t>
        </is>
      </c>
      <c r="C66" s="65" t="n">
        <v>15</v>
      </c>
      <c r="D66" s="66" t="n">
        <v>31000</v>
      </c>
      <c r="E66" s="66" t="n">
        <v>1840</v>
      </c>
      <c r="F66" s="66" t="n">
        <v>205</v>
      </c>
      <c r="G66" s="67">
        <f>(E66+F66)/D66</f>
        <v/>
      </c>
      <c r="H66" s="65" t="inlineStr">
        <is>
          <t>FALSE</t>
        </is>
      </c>
      <c r="I66" s="65" t="inlineStr">
        <is>
          <t>recipe; technique; sauce</t>
        </is>
      </c>
    </row>
    <row r="67">
      <c r="A67" s="65" t="inlineStr">
        <is>
          <t>bianca-ferro</t>
        </is>
      </c>
      <c r="B67" s="65" t="inlineStr">
        <is>
          <t>Restaurant-Style Carnitas in a Home Kitchen</t>
        </is>
      </c>
      <c r="C67" s="65" t="n">
        <v>22</v>
      </c>
      <c r="D67" s="66" t="n">
        <v>36000</v>
      </c>
      <c r="E67" s="66" t="n">
        <v>2200</v>
      </c>
      <c r="F67" s="66" t="n">
        <v>245</v>
      </c>
      <c r="G67" s="67">
        <f>(E67+F67)/D67</f>
        <v/>
      </c>
      <c r="H67" s="65" t="inlineStr">
        <is>
          <t>TRUE</t>
        </is>
      </c>
      <c r="I67" s="65" t="inlineStr">
        <is>
          <t>technique; recipe; restaurant</t>
        </is>
      </c>
    </row>
    <row r="68">
      <c r="A68" s="65" t="inlineStr">
        <is>
          <t>rafael-ortiz</t>
        </is>
      </c>
      <c r="B68" s="65" t="inlineStr">
        <is>
          <t>The Only 7 Tools You Actually Need</t>
        </is>
      </c>
      <c r="C68" s="65" t="n">
        <v>8</v>
      </c>
      <c r="D68" s="66" t="n">
        <v>5000</v>
      </c>
      <c r="E68" s="66" t="n">
        <v>540</v>
      </c>
      <c r="F68" s="66" t="n">
        <v>60</v>
      </c>
      <c r="G68" s="67">
        <f>(E68+F68)/D68</f>
        <v/>
      </c>
      <c r="H68" s="65" t="inlineStr">
        <is>
          <t>FALSE</t>
        </is>
      </c>
      <c r="I68" s="65" t="inlineStr">
        <is>
          <t>gear; buying-guide; kitchen</t>
        </is>
      </c>
    </row>
    <row r="69">
      <c r="A69" s="65" t="inlineStr">
        <is>
          <t>rafael-ortiz</t>
        </is>
      </c>
      <c r="B69" s="65" t="inlineStr">
        <is>
          <t>I Cooked One Cookbook for a Week</t>
        </is>
      </c>
      <c r="C69" s="65" t="n">
        <v>14</v>
      </c>
      <c r="D69" s="66" t="n">
        <v>4000</v>
      </c>
      <c r="E69" s="66" t="n">
        <v>450</v>
      </c>
      <c r="F69" s="66" t="n">
        <v>50</v>
      </c>
      <c r="G69" s="67">
        <f>(E69+F69)/D69</f>
        <v/>
      </c>
      <c r="H69" s="65" t="inlineStr">
        <is>
          <t>FALSE</t>
        </is>
      </c>
      <c r="I69" s="65" t="inlineStr">
        <is>
          <t>challenge; cookbook; recipe</t>
        </is>
      </c>
    </row>
    <row r="70">
      <c r="A70" s="65" t="inlineStr">
        <is>
          <t>rafael-ortiz</t>
        </is>
      </c>
      <c r="B70" s="65" t="inlineStr">
        <is>
          <t>Fixing the Mistake Everyone Makes With Carnitas</t>
        </is>
      </c>
      <c r="C70" s="65" t="n">
        <v>23</v>
      </c>
      <c r="D70" s="66" t="n">
        <v>4000</v>
      </c>
      <c r="E70" s="66" t="n">
        <v>460</v>
      </c>
      <c r="F70" s="66" t="n">
        <v>50</v>
      </c>
      <c r="G70" s="67">
        <f>(E70+F70)/D70</f>
        <v/>
      </c>
      <c r="H70" s="65" t="inlineStr">
        <is>
          <t>FALSE</t>
        </is>
      </c>
      <c r="I70" s="65" t="inlineStr">
        <is>
          <t>technique; troubleshooting</t>
        </is>
      </c>
    </row>
    <row r="71">
      <c r="A71" s="65" t="inlineStr">
        <is>
          <t>stella-vance</t>
        </is>
      </c>
      <c r="B71" s="65" t="inlineStr">
        <is>
          <t>I Tried Cold Showers for 30 Days</t>
        </is>
      </c>
      <c r="C71" s="65" t="n">
        <v>3</v>
      </c>
      <c r="D71" s="66" t="n">
        <v>21000</v>
      </c>
      <c r="E71" s="66" t="n">
        <v>1470</v>
      </c>
      <c r="F71" s="66" t="n">
        <v>165</v>
      </c>
      <c r="G71" s="67">
        <f>(E71+F71)/D71</f>
        <v/>
      </c>
      <c r="H71" s="65" t="inlineStr">
        <is>
          <t>FALSE</t>
        </is>
      </c>
      <c r="I71" s="65" t="inlineStr">
        <is>
          <t>challenge; wellness; experiment</t>
        </is>
      </c>
    </row>
    <row r="72">
      <c r="A72" s="65" t="inlineStr">
        <is>
          <t>stella-vance</t>
        </is>
      </c>
      <c r="B72" s="65" t="inlineStr">
        <is>
          <t>Cutting Caffeine Without the Crash</t>
        </is>
      </c>
      <c r="C72" s="65" t="n">
        <v>14</v>
      </c>
      <c r="D72" s="66" t="n">
        <v>15000</v>
      </c>
      <c r="E72" s="66" t="n">
        <v>1000</v>
      </c>
      <c r="F72" s="66" t="n">
        <v>110</v>
      </c>
      <c r="G72" s="67">
        <f>(E72+F72)/D72</f>
        <v/>
      </c>
      <c r="H72" s="65" t="inlineStr">
        <is>
          <t>FALSE</t>
        </is>
      </c>
      <c r="I72" s="65" t="inlineStr">
        <is>
          <t>caffeine; wellness; how-to</t>
        </is>
      </c>
    </row>
    <row r="73">
      <c r="A73" s="65" t="inlineStr">
        <is>
          <t>stella-vance</t>
        </is>
      </c>
      <c r="B73" s="65" t="inlineStr">
        <is>
          <t>A Realistic Wind-Down for Bad Sleepers</t>
        </is>
      </c>
      <c r="C73" s="65" t="n">
        <v>30</v>
      </c>
      <c r="D73" s="66" t="n">
        <v>18000</v>
      </c>
      <c r="E73" s="66" t="n">
        <v>1270</v>
      </c>
      <c r="F73" s="66" t="n">
        <v>140</v>
      </c>
      <c r="G73" s="67">
        <f>(E73+F73)/D73</f>
        <v/>
      </c>
      <c r="H73" s="65" t="inlineStr">
        <is>
          <t>TRUE</t>
        </is>
      </c>
      <c r="I73" s="65" t="inlineStr">
        <is>
          <t>sleep; routine; wellness</t>
        </is>
      </c>
    </row>
    <row r="74">
      <c r="A74" s="65" t="inlineStr">
        <is>
          <t>nikhil-rao</t>
        </is>
      </c>
      <c r="B74" s="65" t="inlineStr">
        <is>
          <t>Supplements I Stopped Wasting Money On</t>
        </is>
      </c>
      <c r="C74" s="65" t="n">
        <v>7</v>
      </c>
      <c r="D74" s="66" t="n">
        <v>26000</v>
      </c>
      <c r="E74" s="66" t="n">
        <v>1380</v>
      </c>
      <c r="F74" s="66" t="n">
        <v>155</v>
      </c>
      <c r="G74" s="67">
        <f>(E74+F74)/D74</f>
        <v/>
      </c>
      <c r="H74" s="65" t="inlineStr">
        <is>
          <t>TRUE</t>
        </is>
      </c>
      <c r="I74" s="65" t="inlineStr">
        <is>
          <t>supplements; value; wellness</t>
        </is>
      </c>
    </row>
    <row r="75">
      <c r="A75" s="65" t="inlineStr">
        <is>
          <t>nikhil-rao</t>
        </is>
      </c>
      <c r="B75" s="65" t="inlineStr">
        <is>
          <t>My Actual Morning Routine (No 5am)</t>
        </is>
      </c>
      <c r="C75" s="65" t="n">
        <v>17</v>
      </c>
      <c r="D75" s="66" t="n">
        <v>19000</v>
      </c>
      <c r="E75" s="66" t="n">
        <v>960</v>
      </c>
      <c r="F75" s="66" t="n">
        <v>105</v>
      </c>
      <c r="G75" s="67">
        <f>(E75+F75)/D75</f>
        <v/>
      </c>
      <c r="H75" s="65" t="inlineStr">
        <is>
          <t>FALSE</t>
        </is>
      </c>
      <c r="I75" s="65" t="inlineStr">
        <is>
          <t>routine; morning; realistic</t>
        </is>
      </c>
    </row>
    <row r="76">
      <c r="A76" s="65" t="inlineStr">
        <is>
          <t>nikhil-rao</t>
        </is>
      </c>
      <c r="B76" s="65" t="inlineStr">
        <is>
          <t>What I Eat in a Week, Honestly</t>
        </is>
      </c>
      <c r="C76" s="65" t="n">
        <v>26</v>
      </c>
      <c r="D76" s="66" t="n">
        <v>22000</v>
      </c>
      <c r="E76" s="66" t="n">
        <v>1150</v>
      </c>
      <c r="F76" s="66" t="n">
        <v>130</v>
      </c>
      <c r="G76" s="67">
        <f>(E76+F76)/D76</f>
        <v/>
      </c>
      <c r="H76" s="65" t="inlineStr">
        <is>
          <t>FALSE</t>
        </is>
      </c>
      <c r="I76" s="65" t="inlineStr">
        <is>
          <t>nutrition; realistic; week</t>
        </is>
      </c>
    </row>
    <row r="77">
      <c r="A77" s="65" t="inlineStr">
        <is>
          <t>meera-kapoor</t>
        </is>
      </c>
      <c r="B77" s="65" t="inlineStr">
        <is>
          <t>6 Stretches That Fixed My Desk Back</t>
        </is>
      </c>
      <c r="C77" s="65" t="n">
        <v>5</v>
      </c>
      <c r="D77" s="66" t="n">
        <v>5000</v>
      </c>
      <c r="E77" s="66" t="n">
        <v>530</v>
      </c>
      <c r="F77" s="66" t="n">
        <v>60</v>
      </c>
      <c r="G77" s="67">
        <f>(E77+F77)/D77</f>
        <v/>
      </c>
      <c r="H77" s="65" t="inlineStr">
        <is>
          <t>FALSE</t>
        </is>
      </c>
      <c r="I77" s="65" t="inlineStr">
        <is>
          <t>mobility; desk-health; how-to</t>
        </is>
      </c>
    </row>
    <row r="78">
      <c r="A78" s="65" t="inlineStr">
        <is>
          <t>meera-kapoor</t>
        </is>
      </c>
      <c r="B78" s="65" t="inlineStr">
        <is>
          <t>The Habit That Changed My Energy</t>
        </is>
      </c>
      <c r="C78" s="65" t="n">
        <v>11</v>
      </c>
      <c r="D78" s="66" t="n">
        <v>4000</v>
      </c>
      <c r="E78" s="66" t="n">
        <v>390</v>
      </c>
      <c r="F78" s="66" t="n">
        <v>45</v>
      </c>
      <c r="G78" s="67">
        <f>(E78+F78)/D78</f>
        <v/>
      </c>
      <c r="H78" s="65" t="inlineStr">
        <is>
          <t>TRUE</t>
        </is>
      </c>
      <c r="I78" s="65" t="inlineStr">
        <is>
          <t>habits; energy; systems</t>
        </is>
      </c>
    </row>
    <row r="79">
      <c r="A79" s="65" t="inlineStr">
        <is>
          <t>meera-kapoor</t>
        </is>
      </c>
      <c r="B79" s="65" t="inlineStr">
        <is>
          <t>I Tried Cold Showers for 30 Days</t>
        </is>
      </c>
      <c r="C79" s="65" t="n">
        <v>22</v>
      </c>
      <c r="D79" s="66" t="n">
        <v>4000</v>
      </c>
      <c r="E79" s="66" t="n">
        <v>410</v>
      </c>
      <c r="F79" s="66" t="n">
        <v>45</v>
      </c>
      <c r="G79" s="67">
        <f>(E79+F79)/D79</f>
        <v/>
      </c>
      <c r="H79" s="65" t="inlineStr">
        <is>
          <t>TRUE</t>
        </is>
      </c>
      <c r="I79" s="65" t="inlineStr">
        <is>
          <t>challenge; wellness; experiment</t>
        </is>
      </c>
    </row>
    <row r="80">
      <c r="A80" s="65" t="inlineStr">
        <is>
          <t>grace-adeyemi</t>
        </is>
      </c>
      <c r="B80" s="65" t="inlineStr">
        <is>
          <t>Gear We Regret Buying (and What We Use)</t>
        </is>
      </c>
      <c r="C80" s="65" t="n">
        <v>8</v>
      </c>
      <c r="D80" s="66" t="n">
        <v>25000</v>
      </c>
      <c r="E80" s="66" t="n">
        <v>1550</v>
      </c>
      <c r="F80" s="66" t="n">
        <v>170</v>
      </c>
      <c r="G80" s="67">
        <f>(E80+F80)/D80</f>
        <v/>
      </c>
      <c r="H80" s="65" t="inlineStr">
        <is>
          <t>FALSE</t>
        </is>
      </c>
      <c r="I80" s="65" t="inlineStr">
        <is>
          <t>gear; review; honest</t>
        </is>
      </c>
    </row>
    <row r="81">
      <c r="A81" s="65" t="inlineStr">
        <is>
          <t>grace-adeyemi</t>
        </is>
      </c>
      <c r="B81" s="65" t="inlineStr">
        <is>
          <t>Getting Out the Door Without Yelling</t>
        </is>
      </c>
      <c r="C81" s="65" t="n">
        <v>15</v>
      </c>
      <c r="D81" s="66" t="n">
        <v>18000</v>
      </c>
      <c r="E81" s="66" t="n">
        <v>1180</v>
      </c>
      <c r="F81" s="66" t="n">
        <v>130</v>
      </c>
      <c r="G81" s="67">
        <f>(E81+F81)/D81</f>
        <v/>
      </c>
      <c r="H81" s="65" t="inlineStr">
        <is>
          <t>FALSE</t>
        </is>
      </c>
      <c r="I81" s="65" t="inlineStr">
        <is>
          <t>routine; morning; family</t>
        </is>
      </c>
    </row>
    <row r="82">
      <c r="A82" s="65" t="inlineStr">
        <is>
          <t>grace-adeyemi</t>
        </is>
      </c>
      <c r="B82" s="65" t="inlineStr">
        <is>
          <t>A Realistic Family Grocery Haul</t>
        </is>
      </c>
      <c r="C82" s="65" t="n">
        <v>29</v>
      </c>
      <c r="D82" s="66" t="n">
        <v>21000</v>
      </c>
      <c r="E82" s="66" t="n">
        <v>1430</v>
      </c>
      <c r="F82" s="66" t="n">
        <v>160</v>
      </c>
      <c r="G82" s="67">
        <f>(E82+F82)/D82</f>
        <v/>
      </c>
      <c r="H82" s="65" t="inlineStr">
        <is>
          <t>FALSE</t>
        </is>
      </c>
      <c r="I82" s="65" t="inlineStr">
        <is>
          <t>grocery; budget; family</t>
        </is>
      </c>
    </row>
    <row r="83">
      <c r="A83" s="65" t="inlineStr">
        <is>
          <t>owen-park</t>
        </is>
      </c>
      <c r="B83" s="65" t="inlineStr">
        <is>
          <t>Our Weeknight Dinner System With Kids</t>
        </is>
      </c>
      <c r="C83" s="65" t="n">
        <v>3</v>
      </c>
      <c r="D83" s="66" t="n">
        <v>5000</v>
      </c>
      <c r="E83" s="66" t="n">
        <v>490</v>
      </c>
      <c r="F83" s="66" t="n">
        <v>55</v>
      </c>
      <c r="G83" s="67">
        <f>(E83+F83)/D83</f>
        <v/>
      </c>
      <c r="H83" s="65" t="inlineStr">
        <is>
          <t>FALSE</t>
        </is>
      </c>
      <c r="I83" s="65" t="inlineStr">
        <is>
          <t>routine; meals; family</t>
        </is>
      </c>
    </row>
    <row r="84">
      <c r="A84" s="65" t="inlineStr">
        <is>
          <t>owen-park</t>
        </is>
      </c>
      <c r="B84" s="65" t="inlineStr">
        <is>
          <t>What's Actually in My Diaper Bag</t>
        </is>
      </c>
      <c r="C84" s="65" t="n">
        <v>14</v>
      </c>
      <c r="D84" s="66" t="n">
        <v>4000</v>
      </c>
      <c r="E84" s="66" t="n">
        <v>360</v>
      </c>
      <c r="F84" s="66" t="n">
        <v>40</v>
      </c>
      <c r="G84" s="67">
        <f>(E84+F84)/D84</f>
        <v/>
      </c>
      <c r="H84" s="65" t="inlineStr">
        <is>
          <t>FALSE</t>
        </is>
      </c>
      <c r="I84" s="65" t="inlineStr">
        <is>
          <t>gear; review; family</t>
        </is>
      </c>
    </row>
    <row r="85">
      <c r="A85" s="65" t="inlineStr">
        <is>
          <t>owen-park</t>
        </is>
      </c>
      <c r="B85" s="65" t="inlineStr">
        <is>
          <t>The Toddler Snack Rotation That Works</t>
        </is>
      </c>
      <c r="C85" s="65" t="n">
        <v>30</v>
      </c>
      <c r="D85" s="66" t="n">
        <v>4000</v>
      </c>
      <c r="E85" s="66" t="n">
        <v>370</v>
      </c>
      <c r="F85" s="66" t="n">
        <v>40</v>
      </c>
      <c r="G85" s="67">
        <f>(E85+F85)/D85</f>
        <v/>
      </c>
      <c r="H85" s="65" t="inlineStr">
        <is>
          <t>FALSE</t>
        </is>
      </c>
      <c r="I85" s="65" t="inlineStr">
        <is>
          <t>snacks; food; family</t>
        </is>
      </c>
    </row>
    <row r="86">
      <c r="A86" s="65" t="inlineStr">
        <is>
          <t>tara-nguyen</t>
        </is>
      </c>
      <c r="B86" s="65" t="inlineStr">
        <is>
          <t>What I Eat to Actually Build Muscle</t>
        </is>
      </c>
      <c r="C86" s="65" t="n">
        <v>4</v>
      </c>
      <c r="D86" s="66" t="n">
        <v>51000</v>
      </c>
      <c r="E86" s="66" t="n">
        <v>3140</v>
      </c>
      <c r="F86" s="66" t="n">
        <v>350</v>
      </c>
      <c r="G86" s="67">
        <f>(E86+F86)/D86</f>
        <v/>
      </c>
      <c r="H86" s="65" t="inlineStr">
        <is>
          <t>FALSE</t>
        </is>
      </c>
      <c r="I86" s="65" t="inlineStr">
        <is>
          <t>nutrition; muscle; realistic</t>
        </is>
      </c>
    </row>
    <row r="87">
      <c r="A87" s="65" t="inlineStr">
        <is>
          <t>tara-nguyen</t>
        </is>
      </c>
      <c r="B87" s="65" t="inlineStr">
        <is>
          <t>I Ran Every Day for a Month</t>
        </is>
      </c>
      <c r="C87" s="65" t="n">
        <v>14</v>
      </c>
      <c r="D87" s="66" t="n">
        <v>22000</v>
      </c>
      <c r="E87" s="66" t="n">
        <v>1320</v>
      </c>
      <c r="F87" s="66" t="n">
        <v>145</v>
      </c>
      <c r="G87" s="67">
        <f>(E87+F87)/D87</f>
        <v/>
      </c>
      <c r="H87" s="65" t="inlineStr">
        <is>
          <t>FALSE</t>
        </is>
      </c>
      <c r="I87" s="65" t="inlineStr">
        <is>
          <t>challenge; running; experiment</t>
        </is>
      </c>
    </row>
    <row r="88">
      <c r="A88" s="65" t="inlineStr">
        <is>
          <t>tara-nguyen</t>
        </is>
      </c>
      <c r="B88" s="65" t="inlineStr">
        <is>
          <t>Mobility Work That Fixed My Squat</t>
        </is>
      </c>
      <c r="C88" s="65" t="n">
        <v>25</v>
      </c>
      <c r="D88" s="66" t="n">
        <v>30000</v>
      </c>
      <c r="E88" s="66" t="n">
        <v>1880</v>
      </c>
      <c r="F88" s="66" t="n">
        <v>210</v>
      </c>
      <c r="G88" s="67">
        <f>(E88+F88)/D88</f>
        <v/>
      </c>
      <c r="H88" s="65" t="inlineStr">
        <is>
          <t>TRUE</t>
        </is>
      </c>
      <c r="I88" s="65" t="inlineStr">
        <is>
          <t>mobility; strength; how-to</t>
        </is>
      </c>
    </row>
    <row r="89">
      <c r="A89" s="65" t="inlineStr">
        <is>
          <t>dominic-pratt</t>
        </is>
      </c>
      <c r="B89" s="65" t="inlineStr">
        <is>
          <t>Home Gym on a Real Budget</t>
        </is>
      </c>
      <c r="C89" s="65" t="n">
        <v>8</v>
      </c>
      <c r="D89" s="66" t="n">
        <v>81000</v>
      </c>
      <c r="E89" s="66" t="n">
        <v>3640</v>
      </c>
      <c r="F89" s="66" t="n">
        <v>405</v>
      </c>
      <c r="G89" s="67">
        <f>(E89+F89)/D89</f>
        <v/>
      </c>
      <c r="H89" s="65" t="inlineStr">
        <is>
          <t>TRUE</t>
        </is>
      </c>
      <c r="I89" s="65" t="inlineStr">
        <is>
          <t>gear; home-gym; budget</t>
        </is>
      </c>
    </row>
    <row r="90">
      <c r="A90" s="65" t="inlineStr">
        <is>
          <t>dominic-pratt</t>
        </is>
      </c>
      <c r="B90" s="65" t="inlineStr">
        <is>
          <t>Recovery Is Where the Gains Are</t>
        </is>
      </c>
      <c r="C90" s="65" t="n">
        <v>11</v>
      </c>
      <c r="D90" s="66" t="n">
        <v>58000</v>
      </c>
      <c r="E90" s="66" t="n">
        <v>2540</v>
      </c>
      <c r="F90" s="66" t="n">
        <v>285</v>
      </c>
      <c r="G90" s="67">
        <f>(E90+F90)/D90</f>
        <v/>
      </c>
      <c r="H90" s="65" t="inlineStr">
        <is>
          <t>FALSE</t>
        </is>
      </c>
      <c r="I90" s="65" t="inlineStr">
        <is>
          <t>recovery; sleep; training</t>
        </is>
      </c>
    </row>
    <row r="91">
      <c r="A91" s="65" t="inlineStr">
        <is>
          <t>dominic-pratt</t>
        </is>
      </c>
      <c r="B91" s="65" t="inlineStr">
        <is>
          <t>Beginner Strength: Start Here</t>
        </is>
      </c>
      <c r="C91" s="65" t="n">
        <v>24</v>
      </c>
      <c r="D91" s="66" t="n">
        <v>68000</v>
      </c>
      <c r="E91" s="66" t="n">
        <v>2820</v>
      </c>
      <c r="F91" s="66" t="n">
        <v>315</v>
      </c>
      <c r="G91" s="67">
        <f>(E91+F91)/D91</f>
        <v/>
      </c>
      <c r="H91" s="65" t="inlineStr">
        <is>
          <t>TRUE</t>
        </is>
      </c>
      <c r="I91" s="65" t="inlineStr">
        <is>
          <t>beginner; strength; how-to</t>
        </is>
      </c>
    </row>
    <row r="92">
      <c r="A92" s="65" t="inlineStr">
        <is>
          <t>freya-lund</t>
        </is>
      </c>
      <c r="B92" s="65" t="inlineStr">
        <is>
          <t>The 7 Lifts That Matter Most</t>
        </is>
      </c>
      <c r="C92" s="65" t="n">
        <v>6</v>
      </c>
      <c r="D92" s="66" t="n">
        <v>6000</v>
      </c>
      <c r="E92" s="66" t="n">
        <v>530</v>
      </c>
      <c r="F92" s="66" t="n">
        <v>60</v>
      </c>
      <c r="G92" s="67">
        <f>(E92+F92)/D92</f>
        <v/>
      </c>
      <c r="H92" s="65" t="inlineStr">
        <is>
          <t>FALSE</t>
        </is>
      </c>
      <c r="I92" s="65" t="inlineStr">
        <is>
          <t>programming; strength; basics</t>
        </is>
      </c>
    </row>
    <row r="93">
      <c r="A93" s="65" t="inlineStr">
        <is>
          <t>freya-lund</t>
        </is>
      </c>
      <c r="B93" s="65" t="inlineStr">
        <is>
          <t>Form Check: Squat Mistakes to Avoid</t>
        </is>
      </c>
      <c r="C93" s="65" t="n">
        <v>14</v>
      </c>
      <c r="D93" s="66" t="n">
        <v>4000</v>
      </c>
      <c r="E93" s="66" t="n">
        <v>340</v>
      </c>
      <c r="F93" s="66" t="n">
        <v>40</v>
      </c>
      <c r="G93" s="67">
        <f>(E93+F93)/D93</f>
        <v/>
      </c>
      <c r="H93" s="65" t="inlineStr">
        <is>
          <t>FALSE</t>
        </is>
      </c>
      <c r="I93" s="65" t="inlineStr">
        <is>
          <t>form; technique; how-to</t>
        </is>
      </c>
    </row>
    <row r="94">
      <c r="A94" s="65" t="inlineStr">
        <is>
          <t>freya-lund</t>
        </is>
      </c>
      <c r="B94" s="65" t="inlineStr">
        <is>
          <t>What I Eat to Actually Build Muscle</t>
        </is>
      </c>
      <c r="C94" s="65" t="n">
        <v>22</v>
      </c>
      <c r="D94" s="66" t="n">
        <v>5000</v>
      </c>
      <c r="E94" s="66" t="n">
        <v>430</v>
      </c>
      <c r="F94" s="66" t="n">
        <v>50</v>
      </c>
      <c r="G94" s="67">
        <f>(E94+F94)/D94</f>
        <v/>
      </c>
      <c r="H94" s="65" t="inlineStr">
        <is>
          <t>TRUE</t>
        </is>
      </c>
      <c r="I94" s="65" t="inlineStr">
        <is>
          <t>nutrition; muscle; realistic</t>
        </is>
      </c>
    </row>
    <row r="95">
      <c r="A95" s="65" t="inlineStr">
        <is>
          <t>naomi-fletcher</t>
        </is>
      </c>
      <c r="B95" s="65" t="inlineStr">
        <is>
          <t>Fixing a Damaged Barrier</t>
        </is>
      </c>
      <c r="C95" s="65" t="n">
        <v>4</v>
      </c>
      <c r="D95" s="66" t="n">
        <v>30000</v>
      </c>
      <c r="E95" s="66" t="n">
        <v>1700</v>
      </c>
      <c r="F95" s="66" t="n">
        <v>190</v>
      </c>
      <c r="G95" s="67">
        <f>(E95+F95)/D95</f>
        <v/>
      </c>
      <c r="H95" s="65" t="inlineStr">
        <is>
          <t>FALSE</t>
        </is>
      </c>
      <c r="I95" s="65" t="inlineStr">
        <is>
          <t>barrier; skincare; how-to</t>
        </is>
      </c>
    </row>
    <row r="96">
      <c r="A96" s="65" t="inlineStr">
        <is>
          <t>naomi-fletcher</t>
        </is>
      </c>
      <c r="B96" s="65" t="inlineStr">
        <is>
          <t>SPF I'll Actually Reapply</t>
        </is>
      </c>
      <c r="C96" s="65" t="n">
        <v>17</v>
      </c>
      <c r="D96" s="66" t="n">
        <v>22000</v>
      </c>
      <c r="E96" s="66" t="n">
        <v>1210</v>
      </c>
      <c r="F96" s="66" t="n">
        <v>135</v>
      </c>
      <c r="G96" s="67">
        <f>(E96+F96)/D96</f>
        <v/>
      </c>
      <c r="H96" s="65" t="inlineStr">
        <is>
          <t>FALSE</t>
        </is>
      </c>
      <c r="I96" s="65" t="inlineStr">
        <is>
          <t>spf; skincare; buying-guide</t>
        </is>
      </c>
    </row>
    <row r="97">
      <c r="A97" s="65" t="inlineStr">
        <is>
          <t>naomi-fletcher</t>
        </is>
      </c>
      <c r="B97" s="65" t="inlineStr">
        <is>
          <t>What I Cut From My Routine</t>
        </is>
      </c>
      <c r="C97" s="65" t="n">
        <v>23</v>
      </c>
      <c r="D97" s="66" t="n">
        <v>25000</v>
      </c>
      <c r="E97" s="66" t="n">
        <v>1540</v>
      </c>
      <c r="F97" s="66" t="n">
        <v>170</v>
      </c>
      <c r="G97" s="67">
        <f>(E97+F97)/D97</f>
        <v/>
      </c>
      <c r="H97" s="65" t="inlineStr">
        <is>
          <t>FALSE</t>
        </is>
      </c>
      <c r="I97" s="65" t="inlineStr">
        <is>
          <t>routine; minimalist; skincare</t>
        </is>
      </c>
    </row>
    <row r="98">
      <c r="A98" s="65" t="inlineStr">
        <is>
          <t>camila-santos</t>
        </is>
      </c>
      <c r="B98" s="65" t="inlineStr">
        <is>
          <t>Affordable Skincare for Humid Weather</t>
        </is>
      </c>
      <c r="C98" s="65" t="n">
        <v>6</v>
      </c>
      <c r="D98" s="66" t="n">
        <v>6000</v>
      </c>
      <c r="E98" s="66" t="n">
        <v>610</v>
      </c>
      <c r="F98" s="66" t="n">
        <v>70</v>
      </c>
      <c r="G98" s="67">
        <f>(E98+F98)/D98</f>
        <v/>
      </c>
      <c r="H98" s="65" t="inlineStr">
        <is>
          <t>TRUE</t>
        </is>
      </c>
      <c r="I98" s="65" t="inlineStr">
        <is>
          <t>budget; skincare; climate</t>
        </is>
      </c>
    </row>
    <row r="99">
      <c r="A99" s="65" t="inlineStr">
        <is>
          <t>camila-santos</t>
        </is>
      </c>
      <c r="B99" s="65" t="inlineStr">
        <is>
          <t>Reading the Ingredient List So You Don't</t>
        </is>
      </c>
      <c r="C99" s="65" t="n">
        <v>18</v>
      </c>
      <c r="D99" s="66" t="n">
        <v>4000</v>
      </c>
      <c r="E99" s="66" t="n">
        <v>450</v>
      </c>
      <c r="F99" s="66" t="n">
        <v>50</v>
      </c>
      <c r="G99" s="67">
        <f>(E99+F99)/D99</f>
        <v/>
      </c>
      <c r="H99" s="65" t="inlineStr">
        <is>
          <t>FALSE</t>
        </is>
      </c>
      <c r="I99" s="65" t="inlineStr">
        <is>
          <t>ingredients; how-to; science</t>
        </is>
      </c>
    </row>
    <row r="100">
      <c r="A100" s="65" t="inlineStr">
        <is>
          <t>camila-santos</t>
        </is>
      </c>
      <c r="B100" s="65" t="inlineStr">
        <is>
          <t>My Honest Retinol Routine</t>
        </is>
      </c>
      <c r="C100" s="65" t="n">
        <v>24</v>
      </c>
      <c r="D100" s="66" t="n">
        <v>5000</v>
      </c>
      <c r="E100" s="66" t="n">
        <v>540</v>
      </c>
      <c r="F100" s="66" t="n">
        <v>60</v>
      </c>
      <c r="G100" s="67">
        <f>(E100+F100)/D100</f>
        <v/>
      </c>
      <c r="H100" s="65" t="inlineStr">
        <is>
          <t>FALSE</t>
        </is>
      </c>
      <c r="I100" s="65" t="inlineStr">
        <is>
          <t>routine; skincare; honest</t>
        </is>
      </c>
    </row>
    <row r="101">
      <c r="A101" s="65" t="inlineStr">
        <is>
          <t>zoe-bennett</t>
        </is>
      </c>
      <c r="B101" s="65" t="inlineStr">
        <is>
          <t>Cost-Per-Wear on My Most-Worn Pieces</t>
        </is>
      </c>
      <c r="C101" s="65" t="n">
        <v>8</v>
      </c>
      <c r="D101" s="66" t="n">
        <v>26000</v>
      </c>
      <c r="E101" s="66" t="n">
        <v>1530</v>
      </c>
      <c r="F101" s="66" t="n">
        <v>170</v>
      </c>
      <c r="G101" s="67">
        <f>(E101+F101)/D101</f>
        <v/>
      </c>
      <c r="H101" s="65" t="inlineStr">
        <is>
          <t>TRUE</t>
        </is>
      </c>
      <c r="I101" s="65" t="inlineStr">
        <is>
          <t>value; wardrobe; math</t>
        </is>
      </c>
    </row>
    <row r="102">
      <c r="A102" s="65" t="inlineStr">
        <is>
          <t>zoe-bennett</t>
        </is>
      </c>
      <c r="B102" s="65" t="inlineStr">
        <is>
          <t>Refashioning a Thrifted Jacket</t>
        </is>
      </c>
      <c r="C102" s="65" t="n">
        <v>18</v>
      </c>
      <c r="D102" s="66" t="n">
        <v>19000</v>
      </c>
      <c r="E102" s="66" t="n">
        <v>1200</v>
      </c>
      <c r="F102" s="66" t="n">
        <v>135</v>
      </c>
      <c r="G102" s="67">
        <f>(E102+F102)/D102</f>
        <v/>
      </c>
      <c r="H102" s="65" t="inlineStr">
        <is>
          <t>TRUE</t>
        </is>
      </c>
      <c r="I102" s="65" t="inlineStr">
        <is>
          <t>refashion; diy; thrift</t>
        </is>
      </c>
    </row>
    <row r="103">
      <c r="A103" s="65" t="inlineStr">
        <is>
          <t>zoe-bennett</t>
        </is>
      </c>
      <c r="B103" s="65" t="inlineStr">
        <is>
          <t>Quiet-Luxury Basics That Last</t>
        </is>
      </c>
      <c r="C103" s="65" t="n">
        <v>23</v>
      </c>
      <c r="D103" s="66" t="n">
        <v>22000</v>
      </c>
      <c r="E103" s="66" t="n">
        <v>1350</v>
      </c>
      <c r="F103" s="66" t="n">
        <v>150</v>
      </c>
      <c r="G103" s="67">
        <f>(E103+F103)/D103</f>
        <v/>
      </c>
      <c r="H103" s="65" t="inlineStr">
        <is>
          <t>FALSE</t>
        </is>
      </c>
      <c r="I103" s="65" t="inlineStr">
        <is>
          <t>basics; quality; styling</t>
        </is>
      </c>
    </row>
    <row r="104">
      <c r="A104" s="65" t="inlineStr">
        <is>
          <t>ingrid-halvorsen</t>
        </is>
      </c>
      <c r="B104" s="65" t="inlineStr">
        <is>
          <t>What I Stopped Buying This Year</t>
        </is>
      </c>
      <c r="C104" s="65" t="n">
        <v>7</v>
      </c>
      <c r="D104" s="66" t="n">
        <v>71000</v>
      </c>
      <c r="E104" s="66" t="n">
        <v>3180</v>
      </c>
      <c r="F104" s="66" t="n">
        <v>355</v>
      </c>
      <c r="G104" s="67">
        <f>(E104+F104)/D104</f>
        <v/>
      </c>
      <c r="H104" s="65" t="inlineStr">
        <is>
          <t>FALSE</t>
        </is>
      </c>
      <c r="I104" s="65" t="inlineStr">
        <is>
          <t>minimalist; wardrobe; honest</t>
        </is>
      </c>
    </row>
    <row r="105">
      <c r="A105" s="65" t="inlineStr">
        <is>
          <t>ingrid-halvorsen</t>
        </is>
      </c>
      <c r="B105" s="65" t="inlineStr">
        <is>
          <t>Styling One Dress Five Ways</t>
        </is>
      </c>
      <c r="C105" s="65" t="n">
        <v>12</v>
      </c>
      <c r="D105" s="66" t="n">
        <v>51000</v>
      </c>
      <c r="E105" s="66" t="n">
        <v>2260</v>
      </c>
      <c r="F105" s="66" t="n">
        <v>250</v>
      </c>
      <c r="G105" s="67">
        <f>(E105+F105)/D105</f>
        <v/>
      </c>
      <c r="H105" s="65" t="inlineStr">
        <is>
          <t>TRUE</t>
        </is>
      </c>
      <c r="I105" s="65" t="inlineStr">
        <is>
          <t>styling; versatile; wardrobe</t>
        </is>
      </c>
    </row>
    <row r="106">
      <c r="A106" s="65" t="inlineStr">
        <is>
          <t>ingrid-halvorsen</t>
        </is>
      </c>
      <c r="B106" s="65" t="inlineStr">
        <is>
          <t>The Secondhand Finds Worth It</t>
        </is>
      </c>
      <c r="C106" s="65" t="n">
        <v>23</v>
      </c>
      <c r="D106" s="66" t="n">
        <v>60000</v>
      </c>
      <c r="E106" s="66" t="n">
        <v>2680</v>
      </c>
      <c r="F106" s="66" t="n">
        <v>300</v>
      </c>
      <c r="G106" s="67">
        <f>(E106+F106)/D106</f>
        <v/>
      </c>
      <c r="H106" s="65" t="inlineStr">
        <is>
          <t>FALSE</t>
        </is>
      </c>
      <c r="I106" s="65" t="inlineStr">
        <is>
          <t>thrift; resale; haul</t>
        </is>
      </c>
    </row>
    <row r="107">
      <c r="A107" s="65" t="inlineStr">
        <is>
          <t>colin-hayes</t>
        </is>
      </c>
      <c r="B107" s="65" t="inlineStr">
        <is>
          <t>6 Miles on This Tent — Honest Review</t>
        </is>
      </c>
      <c r="C107" s="65" t="n">
        <v>5</v>
      </c>
      <c r="D107" s="66" t="n">
        <v>40000</v>
      </c>
      <c r="E107" s="66" t="n">
        <v>2810</v>
      </c>
      <c r="F107" s="66" t="n">
        <v>310</v>
      </c>
      <c r="G107" s="67">
        <f>(E107+F107)/D107</f>
        <v/>
      </c>
      <c r="H107" s="65" t="inlineStr">
        <is>
          <t>FALSE</t>
        </is>
      </c>
      <c r="I107" s="65" t="inlineStr">
        <is>
          <t>gear; review; long-term</t>
        </is>
      </c>
    </row>
    <row r="108">
      <c r="A108" s="65" t="inlineStr">
        <is>
          <t>colin-hayes</t>
        </is>
      </c>
      <c r="B108" s="65" t="inlineStr">
        <is>
          <t>Ultralight Setup That Actually Works</t>
        </is>
      </c>
      <c r="C108" s="65" t="n">
        <v>14</v>
      </c>
      <c r="D108" s="66" t="n">
        <v>29000</v>
      </c>
      <c r="E108" s="66" t="n">
        <v>2020</v>
      </c>
      <c r="F108" s="66" t="n">
        <v>225</v>
      </c>
      <c r="G108" s="67">
        <f>(E108+F108)/D108</f>
        <v/>
      </c>
      <c r="H108" s="65" t="inlineStr">
        <is>
          <t>FALSE</t>
        </is>
      </c>
      <c r="I108" s="65" t="inlineStr">
        <is>
          <t>ultralight; gear; backpacking</t>
        </is>
      </c>
    </row>
    <row r="109">
      <c r="A109" s="65" t="inlineStr">
        <is>
          <t>colin-hayes</t>
        </is>
      </c>
      <c r="B109" s="65" t="inlineStr">
        <is>
          <t>Gear I Regret Buying</t>
        </is>
      </c>
      <c r="C109" s="65" t="n">
        <v>26</v>
      </c>
      <c r="D109" s="66" t="n">
        <v>34000</v>
      </c>
      <c r="E109" s="66" t="n">
        <v>2410</v>
      </c>
      <c r="F109" s="66" t="n">
        <v>270</v>
      </c>
      <c r="G109" s="67">
        <f>(E109+F109)/D109</f>
        <v/>
      </c>
      <c r="H109" s="65" t="inlineStr">
        <is>
          <t>FALSE</t>
        </is>
      </c>
      <c r="I109" s="65" t="inlineStr">
        <is>
          <t>gear; review; honest</t>
        </is>
      </c>
    </row>
    <row r="110">
      <c r="A110" s="65" t="inlineStr">
        <is>
          <t>felix-berger</t>
        </is>
      </c>
      <c r="B110" s="65" t="inlineStr">
        <is>
          <t>Testing Budget vs Premium Tent</t>
        </is>
      </c>
      <c r="C110" s="65" t="n">
        <v>3</v>
      </c>
      <c r="D110" s="66" t="n">
        <v>6000</v>
      </c>
      <c r="E110" s="66" t="n">
        <v>580</v>
      </c>
      <c r="F110" s="66" t="n">
        <v>65</v>
      </c>
      <c r="G110" s="67">
        <f>(E110+F110)/D110</f>
        <v/>
      </c>
      <c r="H110" s="65" t="inlineStr">
        <is>
          <t>FALSE</t>
        </is>
      </c>
      <c r="I110" s="65" t="inlineStr">
        <is>
          <t>comparison; value; gear</t>
        </is>
      </c>
    </row>
    <row r="111">
      <c r="A111" s="65" t="inlineStr">
        <is>
          <t>felix-berger</t>
        </is>
      </c>
      <c r="B111" s="65" t="inlineStr">
        <is>
          <t>My Overnight Kit, Explained</t>
        </is>
      </c>
      <c r="C111" s="65" t="n">
        <v>14</v>
      </c>
      <c r="D111" s="66" t="n">
        <v>4000</v>
      </c>
      <c r="E111" s="66" t="n">
        <v>360</v>
      </c>
      <c r="F111" s="66" t="n">
        <v>40</v>
      </c>
      <c r="G111" s="67">
        <f>(E111+F111)/D111</f>
        <v/>
      </c>
      <c r="H111" s="65" t="inlineStr">
        <is>
          <t>FALSE</t>
        </is>
      </c>
      <c r="I111" s="65" t="inlineStr">
        <is>
          <t>gear; setup; backpacking</t>
        </is>
      </c>
    </row>
    <row r="112">
      <c r="A112" s="65" t="inlineStr">
        <is>
          <t>felix-berger</t>
        </is>
      </c>
      <c r="B112" s="65" t="inlineStr">
        <is>
          <t>What Failed on a 3-Day Trip</t>
        </is>
      </c>
      <c r="C112" s="65" t="n">
        <v>29</v>
      </c>
      <c r="D112" s="66" t="n">
        <v>5000</v>
      </c>
      <c r="E112" s="66" t="n">
        <v>470</v>
      </c>
      <c r="F112" s="66" t="n">
        <v>50</v>
      </c>
      <c r="G112" s="67">
        <f>(E112+F112)/D112</f>
        <v/>
      </c>
      <c r="H112" s="65" t="inlineStr">
        <is>
          <t>FALSE</t>
        </is>
      </c>
      <c r="I112" s="65" t="inlineStr">
        <is>
          <t>gear; review; durability</t>
        </is>
      </c>
    </row>
    <row r="113">
      <c r="A113" s="65" t="inlineStr">
        <is>
          <t>wei-lin</t>
        </is>
      </c>
      <c r="B113" s="65" t="inlineStr">
        <is>
          <t>What Broke First</t>
        </is>
      </c>
      <c r="C113" s="65" t="n">
        <v>3</v>
      </c>
      <c r="D113" s="66" t="n">
        <v>54000</v>
      </c>
      <c r="E113" s="66" t="n">
        <v>2860</v>
      </c>
      <c r="F113" s="66" t="n">
        <v>320</v>
      </c>
      <c r="G113" s="67">
        <f>(E113+F113)/D113</f>
        <v/>
      </c>
      <c r="H113" s="65" t="inlineStr">
        <is>
          <t>TRUE</t>
        </is>
      </c>
      <c r="I113" s="65" t="inlineStr">
        <is>
          <t>durability; review; tech</t>
        </is>
      </c>
    </row>
    <row r="114">
      <c r="A114" s="65" t="inlineStr">
        <is>
          <t>wei-lin</t>
        </is>
      </c>
      <c r="B114" s="65" t="inlineStr">
        <is>
          <t>Setup Upgrade Under $200</t>
        </is>
      </c>
      <c r="C114" s="65" t="n">
        <v>15</v>
      </c>
      <c r="D114" s="66" t="n">
        <v>39000</v>
      </c>
      <c r="E114" s="66" t="n">
        <v>2110</v>
      </c>
      <c r="F114" s="66" t="n">
        <v>235</v>
      </c>
      <c r="G114" s="67">
        <f>(E114+F114)/D114</f>
        <v/>
      </c>
      <c r="H114" s="65" t="inlineStr">
        <is>
          <t>FALSE</t>
        </is>
      </c>
      <c r="I114" s="65" t="inlineStr">
        <is>
          <t>setup; budget; upgrade</t>
        </is>
      </c>
    </row>
    <row r="115">
      <c r="A115" s="65" t="inlineStr">
        <is>
          <t>wei-lin</t>
        </is>
      </c>
      <c r="B115" s="65" t="inlineStr">
        <is>
          <t>This $15 Laptop Shouldn't Be This Good</t>
        </is>
      </c>
      <c r="C115" s="65" t="n">
        <v>22</v>
      </c>
      <c r="D115" s="66" t="n">
        <v>45000</v>
      </c>
      <c r="E115" s="66" t="n">
        <v>2570</v>
      </c>
      <c r="F115" s="66" t="n">
        <v>285</v>
      </c>
      <c r="G115" s="67">
        <f>(E115+F115)/D115</f>
        <v/>
      </c>
      <c r="H115" s="65" t="inlineStr">
        <is>
          <t>FALSE</t>
        </is>
      </c>
      <c r="I115" s="65" t="inlineStr">
        <is>
          <t>budget-tech; review; value</t>
        </is>
      </c>
    </row>
    <row r="116">
      <c r="A116" s="65" t="inlineStr">
        <is>
          <t>hassan-ali</t>
        </is>
      </c>
      <c r="B116" s="65" t="inlineStr">
        <is>
          <t>The Spec Nobody Tells You About</t>
        </is>
      </c>
      <c r="C116" s="65" t="n">
        <v>5</v>
      </c>
      <c r="D116" s="66" t="n">
        <v>12000</v>
      </c>
      <c r="E116" s="66" t="n">
        <v>970</v>
      </c>
      <c r="F116" s="66" t="n">
        <v>110</v>
      </c>
      <c r="G116" s="67">
        <f>(E116+F116)/D116</f>
        <v/>
      </c>
      <c r="H116" s="65" t="inlineStr">
        <is>
          <t>FALSE</t>
        </is>
      </c>
      <c r="I116" s="65" t="inlineStr">
        <is>
          <t>review; deep-dive; tech</t>
        </is>
      </c>
    </row>
    <row r="117">
      <c r="A117" s="65" t="inlineStr">
        <is>
          <t>hassan-ali</t>
        </is>
      </c>
      <c r="B117" s="65" t="inlineStr">
        <is>
          <t>Laptop After 6 Months — Still Worth It?</t>
        </is>
      </c>
      <c r="C117" s="65" t="n">
        <v>11</v>
      </c>
      <c r="D117" s="66" t="n">
        <v>5000</v>
      </c>
      <c r="E117" s="66" t="n">
        <v>410</v>
      </c>
      <c r="F117" s="66" t="n">
        <v>45</v>
      </c>
      <c r="G117" s="67">
        <f>(E117+F117)/D117</f>
        <v/>
      </c>
      <c r="H117" s="65" t="inlineStr">
        <is>
          <t>FALSE</t>
        </is>
      </c>
      <c r="I117" s="65" t="inlineStr">
        <is>
          <t>long-term; review; tech</t>
        </is>
      </c>
    </row>
    <row r="118">
      <c r="A118" s="65" t="inlineStr">
        <is>
          <t>hassan-ali</t>
        </is>
      </c>
      <c r="B118" s="65" t="inlineStr">
        <is>
          <t>Budget vs Flagship: Real-World Test</t>
        </is>
      </c>
      <c r="C118" s="65" t="n">
        <v>22</v>
      </c>
      <c r="D118" s="66" t="n">
        <v>7000</v>
      </c>
      <c r="E118" s="66" t="n">
        <v>570</v>
      </c>
      <c r="F118" s="66" t="n">
        <v>65</v>
      </c>
      <c r="G118" s="67">
        <f>(E118+F118)/D118</f>
        <v/>
      </c>
      <c r="H118" s="65" t="inlineStr">
        <is>
          <t>FALSE</t>
        </is>
      </c>
      <c r="I118" s="65" t="inlineStr">
        <is>
          <t>comparison; value; tech</t>
        </is>
      </c>
    </row>
    <row r="119">
      <c r="A119" s="65" t="inlineStr">
        <is>
          <t>marco-bianchi</t>
        </is>
      </c>
      <c r="B119" s="65" t="inlineStr">
        <is>
          <t>I Benchmarked 5 Laptop So You Don't</t>
        </is>
      </c>
      <c r="C119" s="65" t="n">
        <v>4</v>
      </c>
      <c r="D119" s="66" t="n">
        <v>85000</v>
      </c>
      <c r="E119" s="66" t="n">
        <v>3540</v>
      </c>
      <c r="F119" s="66" t="n">
        <v>395</v>
      </c>
      <c r="G119" s="67">
        <f>(E119+F119)/D119</f>
        <v/>
      </c>
      <c r="H119" s="65" t="inlineStr">
        <is>
          <t>TRUE</t>
        </is>
      </c>
      <c r="I119" s="65" t="inlineStr">
        <is>
          <t>benchmark; comparison; tech</t>
        </is>
      </c>
    </row>
    <row r="120">
      <c r="A120" s="65" t="inlineStr">
        <is>
          <t>marco-bianchi</t>
        </is>
      </c>
      <c r="B120" s="65" t="inlineStr">
        <is>
          <t>The Accessory That Fixed It</t>
        </is>
      </c>
      <c r="C120" s="65" t="n">
        <v>11</v>
      </c>
      <c r="D120" s="66" t="n">
        <v>61000</v>
      </c>
      <c r="E120" s="66" t="n">
        <v>2690</v>
      </c>
      <c r="F120" s="66" t="n">
        <v>300</v>
      </c>
      <c r="G120" s="67">
        <f>(E120+F120)/D120</f>
        <v/>
      </c>
      <c r="H120" s="65" t="inlineStr">
        <is>
          <t>FALSE</t>
        </is>
      </c>
      <c r="I120" s="65" t="inlineStr">
        <is>
          <t>accessories; review; tech</t>
        </is>
      </c>
    </row>
    <row r="121">
      <c r="A121" s="65" t="inlineStr">
        <is>
          <t>marco-bianchi</t>
        </is>
      </c>
      <c r="B121" s="65" t="inlineStr">
        <is>
          <t>What Broke First</t>
        </is>
      </c>
      <c r="C121" s="65" t="n">
        <v>26</v>
      </c>
      <c r="D121" s="66" t="n">
        <v>71000</v>
      </c>
      <c r="E121" s="66" t="n">
        <v>2930</v>
      </c>
      <c r="F121" s="66" t="n">
        <v>325</v>
      </c>
      <c r="G121" s="67">
        <f>(E121+F121)/D121</f>
        <v/>
      </c>
      <c r="H121" s="65" t="inlineStr">
        <is>
          <t>FALSE</t>
        </is>
      </c>
      <c r="I121" s="65" t="inlineStr">
        <is>
          <t>durability; review; tech</t>
        </is>
      </c>
    </row>
    <row r="122">
      <c r="A122" s="65" t="inlineStr">
        <is>
          <t>brandon-cole</t>
        </is>
      </c>
      <c r="B122" s="65" t="inlineStr">
        <is>
          <t>Best Budget Gaming Headset</t>
        </is>
      </c>
      <c r="C122" s="65" t="n">
        <v>7</v>
      </c>
      <c r="D122" s="66" t="n">
        <v>196000</v>
      </c>
      <c r="E122" s="66" t="n">
        <v>24040</v>
      </c>
      <c r="F122" s="66" t="n">
        <v>2670</v>
      </c>
      <c r="G122" s="67">
        <f>(E122+F122)/D122</f>
        <v/>
      </c>
      <c r="H122" s="65" t="inlineStr">
        <is>
          <t>TRUE</t>
        </is>
      </c>
      <c r="I122" s="65" t="inlineStr">
        <is>
          <t>budget; gear; buying-guide</t>
        </is>
      </c>
    </row>
    <row r="123">
      <c r="A123" s="65" t="inlineStr">
        <is>
          <t>brandon-cole</t>
        </is>
      </c>
      <c r="B123" s="65" t="inlineStr">
        <is>
          <t>7 Indie Games You Missed This Month</t>
        </is>
      </c>
      <c r="C123" s="65" t="n">
        <v>13</v>
      </c>
      <c r="D123" s="66" t="n">
        <v>82000</v>
      </c>
      <c r="E123" s="66" t="n">
        <v>9960</v>
      </c>
      <c r="F123" s="66" t="n">
        <v>1105</v>
      </c>
      <c r="G123" s="67">
        <f>(E123+F123)/D123</f>
        <v/>
      </c>
      <c r="H123" s="65" t="inlineStr">
        <is>
          <t>FALSE</t>
        </is>
      </c>
      <c r="I123" s="65" t="inlineStr">
        <is>
          <t>indie; recommendations; roundup</t>
        </is>
      </c>
    </row>
    <row r="124">
      <c r="A124" s="65" t="inlineStr">
        <is>
          <t>brandon-cole</t>
        </is>
      </c>
      <c r="B124" s="65" t="inlineStr">
        <is>
          <t>This Roguelike Ate My Weekend</t>
        </is>
      </c>
      <c r="C124" s="65" t="n">
        <v>24</v>
      </c>
      <c r="D124" s="66" t="n">
        <v>113000</v>
      </c>
      <c r="E124" s="66" t="n">
        <v>12640</v>
      </c>
      <c r="F124" s="66" t="n">
        <v>1405</v>
      </c>
      <c r="G124" s="67">
        <f>(E124+F124)/D124</f>
        <v/>
      </c>
      <c r="H124" s="65" t="inlineStr">
        <is>
          <t>FALSE</t>
        </is>
      </c>
      <c r="I124" s="65" t="inlineStr">
        <is>
          <t>roguelike; playthrough; review</t>
        </is>
      </c>
    </row>
    <row r="125">
      <c r="A125" s="65" t="inlineStr">
        <is>
          <t>aisha-rahman</t>
        </is>
      </c>
      <c r="B125" s="65" t="inlineStr">
        <is>
          <t>Cozy Games for People Who Hate Losing</t>
        </is>
      </c>
      <c r="C125" s="65" t="n">
        <v>3</v>
      </c>
      <c r="D125" s="66" t="n">
        <v>11000</v>
      </c>
      <c r="E125" s="66" t="n">
        <v>1170</v>
      </c>
      <c r="F125" s="66" t="n">
        <v>130</v>
      </c>
      <c r="G125" s="67">
        <f>(E125+F125)/D125</f>
        <v/>
      </c>
      <c r="H125" s="65" t="inlineStr">
        <is>
          <t>FALSE</t>
        </is>
      </c>
      <c r="I125" s="65" t="inlineStr">
        <is>
          <t>cozy; recommendations; narrative</t>
        </is>
      </c>
    </row>
    <row r="126">
      <c r="A126" s="65" t="inlineStr">
        <is>
          <t>aisha-rahman</t>
        </is>
      </c>
      <c r="B126" s="65" t="inlineStr">
        <is>
          <t>Is This Headset Worth It for Gaming?</t>
        </is>
      </c>
      <c r="C126" s="65" t="n">
        <v>18</v>
      </c>
      <c r="D126" s="66" t="n">
        <v>5000</v>
      </c>
      <c r="E126" s="66" t="n">
        <v>510</v>
      </c>
      <c r="F126" s="66" t="n">
        <v>55</v>
      </c>
      <c r="G126" s="67">
        <f>(E126+F126)/D126</f>
        <v/>
      </c>
      <c r="H126" s="65" t="inlineStr">
        <is>
          <t>FALSE</t>
        </is>
      </c>
      <c r="I126" s="65" t="inlineStr">
        <is>
          <t>gear; review; peripherals</t>
        </is>
      </c>
    </row>
    <row r="127">
      <c r="A127" s="65" t="inlineStr">
        <is>
          <t>aisha-rahman</t>
        </is>
      </c>
      <c r="B127" s="65" t="inlineStr">
        <is>
          <t>The Settings That Doubled My FPS</t>
        </is>
      </c>
      <c r="C127" s="65" t="n">
        <v>24</v>
      </c>
      <c r="D127" s="66" t="n">
        <v>7000</v>
      </c>
      <c r="E127" s="66" t="n">
        <v>800</v>
      </c>
      <c r="F127" s="66" t="n">
        <v>90</v>
      </c>
      <c r="G127" s="67">
        <f>(E127+F127)/D127</f>
        <v/>
      </c>
      <c r="H127" s="65" t="inlineStr">
        <is>
          <t>FALSE</t>
        </is>
      </c>
      <c r="I127" s="65" t="inlineStr">
        <is>
          <t>settings; how-to; performance</t>
        </is>
      </c>
    </row>
    <row r="128">
      <c r="A128" s="65" t="inlineStr">
        <is>
          <t>julian-reyes</t>
        </is>
      </c>
      <c r="B128" s="65" t="inlineStr">
        <is>
          <t>Apps I Use to Track Every Dollar</t>
        </is>
      </c>
      <c r="C128" s="65" t="n">
        <v>8</v>
      </c>
      <c r="D128" s="66" t="n">
        <v>39000</v>
      </c>
      <c r="E128" s="66" t="n">
        <v>2030</v>
      </c>
      <c r="F128" s="66" t="n">
        <v>225</v>
      </c>
      <c r="G128" s="67">
        <f>(E128+F128)/D128</f>
        <v/>
      </c>
      <c r="H128" s="65" t="inlineStr">
        <is>
          <t>FALSE</t>
        </is>
      </c>
      <c r="I128" s="65" t="inlineStr">
        <is>
          <t>apps; budgeting; tools</t>
        </is>
      </c>
    </row>
    <row r="129">
      <c r="A129" s="65" t="inlineStr">
        <is>
          <t>julian-reyes</t>
        </is>
      </c>
      <c r="B129" s="65" t="inlineStr">
        <is>
          <t>What Nobody Tells First-Time Earners</t>
        </is>
      </c>
      <c r="C129" s="65" t="n">
        <v>17</v>
      </c>
      <c r="D129" s="66" t="n">
        <v>28000</v>
      </c>
      <c r="E129" s="66" t="n">
        <v>1440</v>
      </c>
      <c r="F129" s="66" t="n">
        <v>160</v>
      </c>
      <c r="G129" s="67">
        <f>(E129+F129)/D129</f>
        <v/>
      </c>
      <c r="H129" s="65" t="inlineStr">
        <is>
          <t>FALSE</t>
        </is>
      </c>
      <c r="I129" s="65" t="inlineStr">
        <is>
          <t>beginner; money; advice</t>
        </is>
      </c>
    </row>
    <row r="130">
      <c r="A130" s="65" t="inlineStr">
        <is>
          <t>julian-reyes</t>
        </is>
      </c>
      <c r="B130" s="65" t="inlineStr">
        <is>
          <t>Cutting $300 From My Month</t>
        </is>
      </c>
      <c r="C130" s="65" t="n">
        <v>29</v>
      </c>
      <c r="D130" s="66" t="n">
        <v>33000</v>
      </c>
      <c r="E130" s="66" t="n">
        <v>1790</v>
      </c>
      <c r="F130" s="66" t="n">
        <v>200</v>
      </c>
      <c r="G130" s="67">
        <f>(E130+F130)/D130</f>
        <v/>
      </c>
      <c r="H130" s="65" t="inlineStr">
        <is>
          <t>TRUE</t>
        </is>
      </c>
      <c r="I130" s="65" t="inlineStr">
        <is>
          <t>budget; saving; how-to</t>
        </is>
      </c>
    </row>
    <row r="131">
      <c r="A131" s="65" t="inlineStr">
        <is>
          <t>sofie-larsen</t>
        </is>
      </c>
      <c r="B131" s="65" t="inlineStr">
        <is>
          <t>Index Funds, Explained Boringly</t>
        </is>
      </c>
      <c r="C131" s="65" t="n">
        <v>7</v>
      </c>
      <c r="D131" s="66" t="n">
        <v>5000</v>
      </c>
      <c r="E131" s="66" t="n">
        <v>460</v>
      </c>
      <c r="F131" s="66" t="n">
        <v>50</v>
      </c>
      <c r="G131" s="67">
        <f>(E131+F131)/D131</f>
        <v/>
      </c>
      <c r="H131" s="65" t="inlineStr">
        <is>
          <t>FALSE</t>
        </is>
      </c>
      <c r="I131" s="65" t="inlineStr">
        <is>
          <t>investing; beginner; index-funds</t>
        </is>
      </c>
    </row>
    <row r="132">
      <c r="A132" s="65" t="inlineStr">
        <is>
          <t>sofie-larsen</t>
        </is>
      </c>
      <c r="B132" s="65" t="inlineStr">
        <is>
          <t>My Real Budget on a $200 Income</t>
        </is>
      </c>
      <c r="C132" s="65" t="n">
        <v>14</v>
      </c>
      <c r="D132" s="66" t="n">
        <v>4000</v>
      </c>
      <c r="E132" s="66" t="n">
        <v>380</v>
      </c>
      <c r="F132" s="66" t="n">
        <v>45</v>
      </c>
      <c r="G132" s="67">
        <f>(E132+F132)/D132</f>
        <v/>
      </c>
      <c r="H132" s="65" t="inlineStr">
        <is>
          <t>TRUE</t>
        </is>
      </c>
      <c r="I132" s="65" t="inlineStr">
        <is>
          <t>budget; realistic; income</t>
        </is>
      </c>
    </row>
    <row r="133">
      <c r="A133" s="65" t="inlineStr">
        <is>
          <t>sofie-larsen</t>
        </is>
      </c>
      <c r="B133" s="65" t="inlineStr">
        <is>
          <t>The Debt Payoff That Actually Worked</t>
        </is>
      </c>
      <c r="C133" s="65" t="n">
        <v>25</v>
      </c>
      <c r="D133" s="66" t="n">
        <v>4000</v>
      </c>
      <c r="E133" s="66" t="n">
        <v>400</v>
      </c>
      <c r="F133" s="66" t="n">
        <v>45</v>
      </c>
      <c r="G133" s="67">
        <f>(E133+F133)/D133</f>
        <v/>
      </c>
      <c r="H133" s="65" t="inlineStr">
        <is>
          <t>TRUE</t>
        </is>
      </c>
      <c r="I133" s="65" t="inlineStr">
        <is>
          <t>debt; payoff; how-to</t>
        </is>
      </c>
    </row>
    <row r="134">
      <c r="A134" s="65" t="inlineStr">
        <is>
          <t>andre-costa</t>
        </is>
      </c>
      <c r="B134" s="65" t="inlineStr">
        <is>
          <t>A Week of No-Waste Meals From One Haul</t>
        </is>
      </c>
      <c r="C134" s="65" t="n">
        <v>5</v>
      </c>
      <c r="D134" s="66" t="n">
        <v>60000</v>
      </c>
      <c r="E134" s="66" t="n">
        <v>2750</v>
      </c>
      <c r="F134" s="66" t="n">
        <v>305</v>
      </c>
      <c r="G134" s="67">
        <f>(E134+F134)/D134</f>
        <v/>
      </c>
      <c r="H134" s="65" t="inlineStr">
        <is>
          <t>FALSE</t>
        </is>
      </c>
      <c r="I134" s="65" t="inlineStr">
        <is>
          <t>meal-prep; budget; zero-waste</t>
        </is>
      </c>
    </row>
    <row r="135">
      <c r="A135" s="65" t="inlineStr">
        <is>
          <t>andre-costa</t>
        </is>
      </c>
      <c r="B135" s="65" t="inlineStr">
        <is>
          <t>Blind Taste Test: Store Brand vs Name Brand</t>
        </is>
      </c>
      <c r="C135" s="65" t="n">
        <v>15</v>
      </c>
      <c r="D135" s="66" t="n">
        <v>43000</v>
      </c>
      <c r="E135" s="66" t="n">
        <v>1970</v>
      </c>
      <c r="F135" s="66" t="n">
        <v>220</v>
      </c>
      <c r="G135" s="67">
        <f>(E135+F135)/D135</f>
        <v/>
      </c>
      <c r="H135" s="65" t="inlineStr">
        <is>
          <t>FALSE</t>
        </is>
      </c>
      <c r="I135" s="65" t="inlineStr">
        <is>
          <t>taste-test; value; comparison</t>
        </is>
      </c>
    </row>
    <row r="136">
      <c r="A136" s="65" t="inlineStr">
        <is>
          <t>andre-costa</t>
        </is>
      </c>
      <c r="B136" s="65" t="inlineStr">
        <is>
          <t>5 Pantry Staples I Won't Run Out Of</t>
        </is>
      </c>
      <c r="C136" s="65" t="n">
        <v>27</v>
      </c>
      <c r="D136" s="66" t="n">
        <v>50000</v>
      </c>
      <c r="E136" s="66" t="n">
        <v>2210</v>
      </c>
      <c r="F136" s="66" t="n">
        <v>245</v>
      </c>
      <c r="G136" s="67">
        <f>(E136+F136)/D136</f>
        <v/>
      </c>
      <c r="H136" s="65" t="inlineStr">
        <is>
          <t>FALSE</t>
        </is>
      </c>
      <c r="I136" s="65" t="inlineStr">
        <is>
          <t>pantry; staples; buying-guide</t>
        </is>
      </c>
    </row>
    <row r="137">
      <c r="A137" s="65" t="inlineStr">
        <is>
          <t>lena-kowalski</t>
        </is>
      </c>
      <c r="B137" s="65" t="inlineStr">
        <is>
          <t>I Only Shopped the Perimeter for a Week</t>
        </is>
      </c>
      <c r="C137" s="65" t="n">
        <v>4</v>
      </c>
      <c r="D137" s="66" t="n">
        <v>25000</v>
      </c>
      <c r="E137" s="66" t="n">
        <v>1660</v>
      </c>
      <c r="F137" s="66" t="n">
        <v>185</v>
      </c>
      <c r="G137" s="67">
        <f>(E137+F137)/D137</f>
        <v/>
      </c>
      <c r="H137" s="65" t="inlineStr">
        <is>
          <t>FALSE</t>
        </is>
      </c>
      <c r="I137" s="65" t="inlineStr">
        <is>
          <t>challenge; grocery; health</t>
        </is>
      </c>
    </row>
    <row r="138">
      <c r="A138" s="65" t="inlineStr">
        <is>
          <t>lena-kowalski</t>
        </is>
      </c>
      <c r="B138" s="65" t="inlineStr">
        <is>
          <t>The Coffee Upgrade That Cost Me $12</t>
        </is>
      </c>
      <c r="C138" s="65" t="n">
        <v>17</v>
      </c>
      <c r="D138" s="66" t="n">
        <v>18000</v>
      </c>
      <c r="E138" s="66" t="n">
        <v>1250</v>
      </c>
      <c r="F138" s="66" t="n">
        <v>140</v>
      </c>
      <c r="G138" s="67">
        <f>(E138+F138)/D138</f>
        <v/>
      </c>
      <c r="H138" s="65" t="inlineStr">
        <is>
          <t>FALSE</t>
        </is>
      </c>
      <c r="I138" s="65" t="inlineStr">
        <is>
          <t>coffee; budget; upgrade</t>
        </is>
      </c>
    </row>
    <row r="139">
      <c r="A139" s="65" t="inlineStr">
        <is>
          <t>lena-kowalski</t>
        </is>
      </c>
      <c r="B139" s="65" t="inlineStr">
        <is>
          <t>I Ranked 3 Supermarket Olive Oils</t>
        </is>
      </c>
      <c r="C139" s="65" t="n">
        <v>30</v>
      </c>
      <c r="D139" s="66" t="n">
        <v>21000</v>
      </c>
      <c r="E139" s="66" t="n">
        <v>1360</v>
      </c>
      <c r="F139" s="66" t="n">
        <v>150</v>
      </c>
      <c r="G139" s="67">
        <f>(E139+F139)/D139</f>
        <v/>
      </c>
      <c r="H139" s="65" t="inlineStr">
        <is>
          <t>FALSE</t>
        </is>
      </c>
      <c r="I139" s="65" t="inlineStr">
        <is>
          <t>comparison; grocery; taste-test</t>
        </is>
      </c>
    </row>
    <row r="140">
      <c r="A140" s="65" t="inlineStr">
        <is>
          <t>malik-johnson</t>
        </is>
      </c>
      <c r="B140" s="65" t="inlineStr">
        <is>
          <t>The Only 5 Tools You Actually Need</t>
        </is>
      </c>
      <c r="C140" s="65" t="n">
        <v>3</v>
      </c>
      <c r="D140" s="66" t="n">
        <v>49000</v>
      </c>
      <c r="E140" s="66" t="n">
        <v>2650</v>
      </c>
      <c r="F140" s="66" t="n">
        <v>295</v>
      </c>
      <c r="G140" s="67">
        <f>(E140+F140)/D140</f>
        <v/>
      </c>
      <c r="H140" s="65" t="inlineStr">
        <is>
          <t>TRUE</t>
        </is>
      </c>
      <c r="I140" s="65" t="inlineStr">
        <is>
          <t>gear; buying-guide; kitchen</t>
        </is>
      </c>
    </row>
    <row r="141">
      <c r="A141" s="65" t="inlineStr">
        <is>
          <t>malik-johnson</t>
        </is>
      </c>
      <c r="B141" s="65" t="inlineStr">
        <is>
          <t>I Cooked One Cookbook for a Week</t>
        </is>
      </c>
      <c r="C141" s="65" t="n">
        <v>14</v>
      </c>
      <c r="D141" s="66" t="n">
        <v>35000</v>
      </c>
      <c r="E141" s="66" t="n">
        <v>1970</v>
      </c>
      <c r="F141" s="66" t="n">
        <v>220</v>
      </c>
      <c r="G141" s="67">
        <f>(E141+F141)/D141</f>
        <v/>
      </c>
      <c r="H141" s="65" t="inlineStr">
        <is>
          <t>FALSE</t>
        </is>
      </c>
      <c r="I141" s="65" t="inlineStr">
        <is>
          <t>challenge; cookbook; recipe</t>
        </is>
      </c>
    </row>
    <row r="142">
      <c r="A142" s="65" t="inlineStr">
        <is>
          <t>malik-johnson</t>
        </is>
      </c>
      <c r="B142" s="65" t="inlineStr">
        <is>
          <t>Fixing the Mistake Everyone Makes With Carnitas</t>
        </is>
      </c>
      <c r="C142" s="65" t="n">
        <v>25</v>
      </c>
      <c r="D142" s="66" t="n">
        <v>41000</v>
      </c>
      <c r="E142" s="66" t="n">
        <v>2390</v>
      </c>
      <c r="F142" s="66" t="n">
        <v>265</v>
      </c>
      <c r="G142" s="67">
        <f>(E142+F142)/D142</f>
        <v/>
      </c>
      <c r="H142" s="65" t="inlineStr">
        <is>
          <t>TRUE</t>
        </is>
      </c>
      <c r="I142" s="65" t="inlineStr">
        <is>
          <t>technique; troubleshooting</t>
        </is>
      </c>
    </row>
    <row r="143">
      <c r="A143" s="65" t="inlineStr">
        <is>
          <t>naomi-lee</t>
        </is>
      </c>
      <c r="B143" s="65" t="inlineStr">
        <is>
          <t>Fixing a Damaged Barrier</t>
        </is>
      </c>
      <c r="C143" s="65" t="n">
        <v>6</v>
      </c>
      <c r="D143" s="66" t="n">
        <v>195000</v>
      </c>
      <c r="E143" s="66" t="n">
        <v>9220</v>
      </c>
      <c r="F143" s="66" t="n">
        <v>1025</v>
      </c>
      <c r="G143" s="67">
        <f>(E143+F143)/D143</f>
        <v/>
      </c>
      <c r="H143" s="65" t="inlineStr">
        <is>
          <t>FALSE</t>
        </is>
      </c>
      <c r="I143" s="65" t="inlineStr">
        <is>
          <t>barrier; skincare; how-to</t>
        </is>
      </c>
    </row>
    <row r="144">
      <c r="A144" s="65" t="inlineStr">
        <is>
          <t>naomi-lee</t>
        </is>
      </c>
      <c r="B144" s="65" t="inlineStr">
        <is>
          <t>SPF I'll Actually Reapply</t>
        </is>
      </c>
      <c r="C144" s="65" t="n">
        <v>14</v>
      </c>
      <c r="D144" s="66" t="n">
        <v>140000</v>
      </c>
      <c r="E144" s="66" t="n">
        <v>6030</v>
      </c>
      <c r="F144" s="66" t="n">
        <v>670</v>
      </c>
      <c r="G144" s="67">
        <f>(E144+F144)/D144</f>
        <v/>
      </c>
      <c r="H144" s="65" t="inlineStr">
        <is>
          <t>FALSE</t>
        </is>
      </c>
      <c r="I144" s="65" t="inlineStr">
        <is>
          <t>spf; skincare; buying-guide</t>
        </is>
      </c>
    </row>
    <row r="145">
      <c r="A145" s="65" t="inlineStr">
        <is>
          <t>naomi-lee</t>
        </is>
      </c>
      <c r="B145" s="65" t="inlineStr">
        <is>
          <t>What I Cut From My Routine</t>
        </is>
      </c>
      <c r="C145" s="65" t="n">
        <v>23</v>
      </c>
      <c r="D145" s="66" t="n">
        <v>164000</v>
      </c>
      <c r="E145" s="66" t="n">
        <v>7140</v>
      </c>
      <c r="F145" s="66" t="n">
        <v>795</v>
      </c>
      <c r="G145" s="67">
        <f>(E145+F145)/D145</f>
        <v/>
      </c>
      <c r="H145" s="65" t="inlineStr">
        <is>
          <t>TRUE</t>
        </is>
      </c>
      <c r="I145" s="65" t="inlineStr">
        <is>
          <t>routine; minimalist; skincare</t>
        </is>
      </c>
    </row>
    <row r="146">
      <c r="A146" s="65" t="inlineStr">
        <is>
          <t>ethan-brooks</t>
        </is>
      </c>
      <c r="B146" s="65" t="inlineStr">
        <is>
          <t>Packing for a Cold-Weather Trip</t>
        </is>
      </c>
      <c r="C146" s="65" t="n">
        <v>7</v>
      </c>
      <c r="D146" s="66" t="n">
        <v>110000</v>
      </c>
      <c r="E146" s="66" t="n">
        <v>4920</v>
      </c>
      <c r="F146" s="66" t="n">
        <v>545</v>
      </c>
      <c r="G146" s="67">
        <f>(E146+F146)/D146</f>
        <v/>
      </c>
      <c r="H146" s="65" t="inlineStr">
        <is>
          <t>FALSE</t>
        </is>
      </c>
      <c r="I146" s="65" t="inlineStr">
        <is>
          <t>gear; cold-weather; setup</t>
        </is>
      </c>
    </row>
    <row r="147">
      <c r="A147" s="65" t="inlineStr">
        <is>
          <t>ethan-brooks</t>
        </is>
      </c>
      <c r="B147" s="65" t="inlineStr">
        <is>
          <t>7 Miles on This Tent — Honest Review</t>
        </is>
      </c>
      <c r="C147" s="65" t="n">
        <v>16</v>
      </c>
      <c r="D147" s="66" t="n">
        <v>79000</v>
      </c>
      <c r="E147" s="66" t="n">
        <v>3370</v>
      </c>
      <c r="F147" s="66" t="n">
        <v>375</v>
      </c>
      <c r="G147" s="67">
        <f>(E147+F147)/D147</f>
        <v/>
      </c>
      <c r="H147" s="65" t="inlineStr">
        <is>
          <t>FALSE</t>
        </is>
      </c>
      <c r="I147" s="65" t="inlineStr">
        <is>
          <t>gear; review; long-term</t>
        </is>
      </c>
    </row>
    <row r="148">
      <c r="A148" s="65" t="inlineStr">
        <is>
          <t>ethan-brooks</t>
        </is>
      </c>
      <c r="B148" s="65" t="inlineStr">
        <is>
          <t>Ultralight Setup That Actually Works</t>
        </is>
      </c>
      <c r="C148" s="65" t="n">
        <v>28</v>
      </c>
      <c r="D148" s="66" t="n">
        <v>92000</v>
      </c>
      <c r="E148" s="66" t="n">
        <v>4010</v>
      </c>
      <c r="F148" s="66" t="n">
        <v>445</v>
      </c>
      <c r="G148" s="67">
        <f>(E148+F148)/D148</f>
        <v/>
      </c>
      <c r="H148" s="65" t="inlineStr">
        <is>
          <t>TRUE</t>
        </is>
      </c>
      <c r="I148" s="65" t="inlineStr">
        <is>
          <t>ultralight; gear; backpacking</t>
        </is>
      </c>
    </row>
    <row r="149">
      <c r="A149" s="65" t="inlineStr">
        <is>
          <t>rosa-mendez</t>
        </is>
      </c>
      <c r="B149" s="65" t="inlineStr">
        <is>
          <t>The Toddler Snack Rotation That Works</t>
        </is>
      </c>
      <c r="C149" s="65" t="n">
        <v>3</v>
      </c>
      <c r="D149" s="66" t="n">
        <v>35000</v>
      </c>
      <c r="E149" s="66" t="n">
        <v>2190</v>
      </c>
      <c r="F149" s="66" t="n">
        <v>245</v>
      </c>
      <c r="G149" s="67">
        <f>(E149+F149)/D149</f>
        <v/>
      </c>
      <c r="H149" s="65" t="inlineStr">
        <is>
          <t>FALSE</t>
        </is>
      </c>
      <c r="I149" s="65" t="inlineStr">
        <is>
          <t>snacks; food; family</t>
        </is>
      </c>
    </row>
    <row r="150">
      <c r="A150" s="65" t="inlineStr">
        <is>
          <t>rosa-mendez</t>
        </is>
      </c>
      <c r="B150" s="65" t="inlineStr">
        <is>
          <t>Screen-Time Rules We Actually Keep</t>
        </is>
      </c>
      <c r="C150" s="65" t="n">
        <v>15</v>
      </c>
      <c r="D150" s="66" t="n">
        <v>25000</v>
      </c>
      <c r="E150" s="66" t="n">
        <v>1540</v>
      </c>
      <c r="F150" s="66" t="n">
        <v>170</v>
      </c>
      <c r="G150" s="67">
        <f>(E150+F150)/D150</f>
        <v/>
      </c>
      <c r="H150" s="65" t="inlineStr">
        <is>
          <t>FALSE</t>
        </is>
      </c>
      <c r="I150" s="65" t="inlineStr">
        <is>
          <t>routine; screen-time; honest</t>
        </is>
      </c>
    </row>
    <row r="151">
      <c r="A151" s="65" t="inlineStr">
        <is>
          <t>rosa-mendez</t>
        </is>
      </c>
      <c r="B151" s="65" t="inlineStr">
        <is>
          <t>Big-Batch Cooking for a Busy Week</t>
        </is>
      </c>
      <c r="C151" s="65" t="n">
        <v>24</v>
      </c>
      <c r="D151" s="66" t="n">
        <v>29000</v>
      </c>
      <c r="E151" s="66" t="n">
        <v>1830</v>
      </c>
      <c r="F151" s="66" t="n">
        <v>205</v>
      </c>
      <c r="G151" s="67">
        <f>(E151+F151)/D151</f>
        <v/>
      </c>
      <c r="H151" s="65" t="inlineStr">
        <is>
          <t>TRUE</t>
        </is>
      </c>
      <c r="I151" s="65" t="inlineStr">
        <is>
          <t>meal-prep; family; budget</t>
        </is>
      </c>
    </row>
    <row r="152">
      <c r="A152" s="65" t="inlineStr">
        <is>
          <t>felicity-obi</t>
        </is>
      </c>
      <c r="B152" s="65" t="inlineStr">
        <is>
          <t>What I Stopped Buying This Year</t>
        </is>
      </c>
      <c r="C152" s="65" t="n">
        <v>6</v>
      </c>
      <c r="D152" s="66" t="n">
        <v>5000</v>
      </c>
      <c r="E152" s="66" t="n">
        <v>490</v>
      </c>
      <c r="F152" s="66" t="n">
        <v>55</v>
      </c>
      <c r="G152" s="67">
        <f>(E152+F152)/D152</f>
        <v/>
      </c>
      <c r="H152" s="65" t="inlineStr">
        <is>
          <t>FALSE</t>
        </is>
      </c>
      <c r="I152" s="65" t="inlineStr">
        <is>
          <t>minimalist; wardrobe; honest</t>
        </is>
      </c>
    </row>
    <row r="153">
      <c r="A153" s="65" t="inlineStr">
        <is>
          <t>felicity-obi</t>
        </is>
      </c>
      <c r="B153" s="65" t="inlineStr">
        <is>
          <t>Styling One Dress Five Ways</t>
        </is>
      </c>
      <c r="C153" s="65" t="n">
        <v>17</v>
      </c>
      <c r="D153" s="66" t="n">
        <v>4000</v>
      </c>
      <c r="E153" s="66" t="n">
        <v>400</v>
      </c>
      <c r="F153" s="66" t="n">
        <v>45</v>
      </c>
      <c r="G153" s="67">
        <f>(E153+F153)/D153</f>
        <v/>
      </c>
      <c r="H153" s="65" t="inlineStr">
        <is>
          <t>FALSE</t>
        </is>
      </c>
      <c r="I153" s="65" t="inlineStr">
        <is>
          <t>styling; versatile; wardrobe</t>
        </is>
      </c>
    </row>
    <row r="154">
      <c r="A154" s="65" t="inlineStr">
        <is>
          <t>felicity-obi</t>
        </is>
      </c>
      <c r="B154" s="65" t="inlineStr">
        <is>
          <t>The Secondhand Finds Worth It</t>
        </is>
      </c>
      <c r="C154" s="65" t="n">
        <v>21</v>
      </c>
      <c r="D154" s="66" t="n">
        <v>4000</v>
      </c>
      <c r="E154" s="66" t="n">
        <v>420</v>
      </c>
      <c r="F154" s="66" t="n">
        <v>45</v>
      </c>
      <c r="G154" s="67">
        <f>(E154+F154)/D154</f>
        <v/>
      </c>
      <c r="H154" s="65" t="inlineStr">
        <is>
          <t>FALSE</t>
        </is>
      </c>
      <c r="I154" s="65" t="inlineStr">
        <is>
          <t>thrift; resale; haul</t>
        </is>
      </c>
    </row>
    <row r="156">
      <c r="A156" s="58" t="inlineStr">
        <is>
          <t>days_ago is counted from the day the prototype is demoed, so recency stays correct without hardcoding dates.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7" min="1" max="1"/>
    <col width="96" customWidth="1" style="37" min="2" max="2"/>
  </cols>
  <sheetData>
    <row r="1" ht="17.25" customHeight="1" s="38">
      <c r="A1" s="39" t="inlineStr">
        <is>
          <t>How to use this file</t>
        </is>
      </c>
    </row>
    <row r="2" ht="15" customHeight="1" s="38">
      <c r="A2" s="60" t="n"/>
      <c r="B2" s="68" t="n"/>
    </row>
    <row r="3" ht="15" customHeight="1" s="38">
      <c r="A3" s="69" t="inlineStr">
        <is>
          <t>WHO EDITS WHAT</t>
        </is>
      </c>
      <c r="B3" s="70" t="n"/>
    </row>
    <row r="4" ht="15" customHeight="1" s="38">
      <c r="A4" s="60" t="inlineStr">
        <is>
          <t>Yellow-tinted columns</t>
        </is>
      </c>
      <c r="B4" s="68" t="inlineStr">
        <is>
          <t>Edit freely - these are the values you invent.</t>
        </is>
      </c>
    </row>
    <row r="5" ht="15" customHeight="1" s="38">
      <c r="A5" s="60" t="inlineStr">
        <is>
          <t>Shaded lavender columns</t>
        </is>
      </c>
      <c r="B5" s="68" t="inlineStr">
        <is>
          <t>Formulas. Leave alone; they recalculate from the columns beside them.</t>
        </is>
      </c>
    </row>
    <row r="6" ht="15" customHeight="1" s="38">
      <c r="A6" s="60" t="inlineStr">
        <is>
          <t>creator_id</t>
        </is>
      </c>
      <c r="B6" s="68" t="inlineStr">
        <is>
          <t>Never change once the developer has loaded the file - RecentVideos joins on it.</t>
        </is>
      </c>
    </row>
    <row r="7" ht="15" customHeight="1" s="38">
      <c r="A7" s="60" t="n"/>
      <c r="B7" s="68" t="n"/>
    </row>
    <row r="8" ht="15" customHeight="1" s="38">
      <c r="A8" s="69" t="inlineStr">
        <is>
          <t>FIELD DEFINITIONS</t>
        </is>
      </c>
      <c r="B8" s="70" t="n"/>
    </row>
    <row r="9" ht="15" customHeight="1" s="38">
      <c r="A9" s="60" t="inlineStr">
        <is>
          <t>tier</t>
        </is>
      </c>
      <c r="B9" s="68" t="inlineStr">
        <is>
          <t>Nano = under 10K subs, Micro = 10K-100K, Mid-tier = 100K-500K. Must match the filter buttons on /creators.</t>
        </is>
      </c>
    </row>
    <row r="10" ht="15" customHeight="1" s="38">
      <c r="A10" s="60" t="inlineStr">
        <is>
          <t>engagement_rate</t>
        </is>
      </c>
      <c r="B10" s="68" t="inlineStr">
        <is>
          <t>(likes + comments) / views, stored as a fraction. 0.072 displays as 7.2%.</t>
        </is>
      </c>
    </row>
    <row r="11" ht="15" customHeight="1" s="38">
      <c r="A11" s="60" t="inlineStr">
        <is>
          <t>view_to_sub_ratio</t>
        </is>
      </c>
      <c r="B11" s="68" t="inlineStr">
        <is>
          <t>avg_views / subscribers. Above 100% means the creator reaches well beyond subscribers, usually via Shorts.</t>
        </is>
      </c>
    </row>
    <row r="12" ht="15" customHeight="1" s="38">
      <c r="A12" s="60" t="inlineStr">
        <is>
          <t>channel_verified</t>
        </is>
      </c>
      <c r="B12" s="68" t="inlineStr">
        <is>
          <t>TRUE = YouTube channel ownership confirmed. Separate from 'Business verified', which applies to sponsors.</t>
        </is>
      </c>
    </row>
    <row r="13" ht="15" customHeight="1" s="38">
      <c r="A13" s="60" t="inlineStr">
        <is>
          <t>safety_score</t>
        </is>
      </c>
      <c r="B13" s="68" t="inlineStr">
        <is>
          <t>0-100 brand-safety rating. Keep real spread: this roster runs 71 to 99. All-high scores make the metric look decorative.</t>
        </is>
      </c>
    </row>
    <row r="14" ht="15" customHeight="1" s="38">
      <c r="A14" s="60" t="inlineStr">
        <is>
          <t>rate_integrated</t>
        </is>
      </c>
      <c r="B14" s="68" t="inlineStr">
        <is>
          <t>Price for a mention inside a longer video.</t>
        </is>
      </c>
    </row>
    <row r="15" ht="15" customHeight="1" s="38">
      <c r="A15" s="60" t="inlineStr">
        <is>
          <t>rate_dedicated</t>
        </is>
      </c>
      <c r="B15" s="68" t="inlineStr">
        <is>
          <t>Price for a whole video about the product.</t>
        </is>
      </c>
    </row>
    <row r="16" ht="15" customHeight="1" s="38">
      <c r="A16" s="60" t="inlineStr">
        <is>
          <t>rate_short</t>
        </is>
      </c>
      <c r="B16" s="68" t="inlineStr">
        <is>
          <t>Price for a YouTube Short.</t>
        </is>
      </c>
    </row>
    <row r="17" ht="15" customHeight="1" s="38">
      <c r="A17" s="60" t="inlineStr">
        <is>
          <t>cost_per_1k_views</t>
        </is>
      </c>
      <c r="B17" s="68" t="inlineStr">
        <is>
          <t>rate_dedicated / avg_views x 1000. Should trend DOWN as audience grows - that is how real rate cards work.</t>
        </is>
      </c>
    </row>
    <row r="18" ht="15" customHeight="1" s="38">
      <c r="A18" s="60" t="n"/>
      <c r="B18" s="68" t="n"/>
    </row>
    <row r="19" ht="15" customHeight="1" s="38">
      <c r="A19" s="69" t="inlineStr">
        <is>
          <t>FOUR CREATORS WORTH DEMOING</t>
        </is>
      </c>
      <c r="B19" s="70" t="n"/>
    </row>
    <row r="20" ht="23.25" customHeight="1" s="38">
      <c r="A20" s="60" t="inlineStr">
        <is>
          <t>Luis Moreno</t>
        </is>
      </c>
      <c r="B20" s="68" t="inlineStr">
        <is>
          <t>6.5K subs, 12.4K avg views. Reach is 1.9x his subscriber count. The single best proof that AI Match scores fit, not follower count.</t>
        </is>
      </c>
    </row>
    <row r="21" ht="15" customHeight="1" s="38">
      <c r="A21" s="60" t="inlineStr">
        <is>
          <t>Marcus Hale</t>
        </is>
      </c>
      <c r="B21" s="68" t="inlineStr">
        <is>
          <t>92K subs but 3.2% engagement and safety 71. AI Match should rank him low despite the big number.</t>
        </is>
      </c>
    </row>
    <row r="22" ht="15" customHeight="1" s="38">
      <c r="A22" s="60" t="inlineStr">
        <is>
          <t>Ryan Novak</t>
        </is>
      </c>
      <c r="B22" s="68" t="inlineStr">
        <is>
          <t>Personal finance, safety 82. Best subject for the content-review screen - return claims are the classic legal risk.</t>
        </is>
      </c>
    </row>
    <row r="23" ht="15" customHeight="1" s="38">
      <c r="A23" s="60" t="inlineStr">
        <is>
          <t>Isabel Cruz</t>
        </is>
      </c>
      <c r="B23" s="68" t="inlineStr">
        <is>
          <t>Food &amp; Beverage, 8.4% engagement, mid-tier reach. Should come out #1 for the demo campaign.</t>
        </is>
      </c>
    </row>
    <row r="24" ht="15" customHeight="1" s="38">
      <c r="A24" s="60" t="n"/>
      <c r="B24" s="68" t="n"/>
    </row>
    <row r="25" ht="15" customHeight="1" s="38">
      <c r="A25" s="69" t="inlineStr">
        <is>
          <t>KEEP IN MIND</t>
        </is>
      </c>
      <c r="B25" s="70" t="n"/>
    </row>
    <row r="26" ht="23.25" customHeight="1" s="38">
      <c r="A26" s="60" t="inlineStr">
        <is>
          <t>No real people</t>
        </is>
      </c>
      <c r="B26" s="68" t="inlineStr">
        <is>
          <t>Every name here is invented. Do not reintroduce a real creator or celebrity - inventing follower counts and prices for a real person carries a name-and-likeness risk, and judges will notice the numbers are fake.</t>
        </is>
      </c>
    </row>
    <row r="27" ht="23.25" customHeight="1" s="38">
      <c r="A27" s="60" t="inlineStr">
        <is>
          <t>Coverage over volume</t>
        </is>
      </c>
      <c r="B27" s="68" t="inlineStr">
        <is>
          <t>The point of 18 profiles is that every filter combination returns results. An empty results page during a live demo is worse than a short list.</t>
        </is>
      </c>
    </row>
    <row r="28" ht="23.25" customHeight="1" s="38">
      <c r="A28" s="60" t="inlineStr">
        <is>
          <t>Field names</t>
        </is>
      </c>
      <c r="B28" s="68" t="inlineStr">
        <is>
          <t>Confirm these against src/lib/mockData.js before the developer imports. If the existing keys differ, rename the headers here rather than changing the code.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37" min="1" max="1"/>
    <col width="12" customWidth="1" style="37" min="2" max="2"/>
    <col width="11" customWidth="1" style="37" min="3" max="3"/>
    <col width="15" customWidth="1" style="37" min="4" max="4"/>
    <col width="26" customWidth="1" style="37" min="5" max="5"/>
    <col width="10" customWidth="1" style="37" min="6" max="6"/>
    <col width="14" customWidth="1" style="37" min="7" max="7"/>
    <col width="32" customWidth="1" style="37" min="8" max="8"/>
    <col width="46" customWidth="1" style="37" min="9" max="9"/>
  </cols>
  <sheetData>
    <row r="1" ht="17.25" customHeight="1" s="38">
      <c r="A1" s="39" t="inlineStr">
        <is>
          <t>Metadata schema</t>
        </is>
      </c>
    </row>
    <row r="2" ht="30" customHeight="1" s="38">
      <c r="A2" s="71" t="inlineStr">
        <is>
          <t>One row per field. The API source column is what makes the mock-to-live swap mechanical: every field either maps to a YouTube Data API response path, is derived from fields that do, or is owned by SponsorSync itself.</t>
        </is>
      </c>
    </row>
    <row r="4" ht="30" customHeight="1" s="38">
      <c r="A4" s="41" t="inlineStr">
        <is>
          <t>field</t>
        </is>
      </c>
      <c r="B4" s="41" t="inlineStr">
        <is>
          <t>entity</t>
        </is>
      </c>
      <c r="C4" s="41" t="inlineStr">
        <is>
          <t>type</t>
        </is>
      </c>
      <c r="D4" s="41" t="inlineStr">
        <is>
          <t>format / unit</t>
        </is>
      </c>
      <c r="E4" s="41" t="inlineStr">
        <is>
          <t>allowed values or range</t>
        </is>
      </c>
      <c r="F4" s="41" t="inlineStr">
        <is>
          <t>required</t>
        </is>
      </c>
      <c r="G4" s="41" t="inlineStr">
        <is>
          <t>origin</t>
        </is>
      </c>
      <c r="H4" s="41" t="inlineStr">
        <is>
          <t>YouTube Data API source</t>
        </is>
      </c>
      <c r="I4" s="41" t="inlineStr">
        <is>
          <t>notes</t>
        </is>
      </c>
    </row>
    <row r="5" ht="15" customHeight="1" s="38">
      <c r="A5" s="72" t="inlineStr">
        <is>
          <t>creator_id</t>
        </is>
      </c>
      <c r="B5" s="72" t="inlineStr">
        <is>
          <t>creator</t>
        </is>
      </c>
      <c r="C5" s="72" t="inlineStr">
        <is>
          <t>string</t>
        </is>
      </c>
      <c r="D5" s="72" t="inlineStr">
        <is>
          <t>kebab-case</t>
        </is>
      </c>
      <c r="E5" s="72" t="inlineStr">
        <is>
          <t>unique, no spaces</t>
        </is>
      </c>
      <c r="F5" s="72" t="inlineStr">
        <is>
          <t>yes</t>
        </is>
      </c>
      <c r="G5" s="72" t="inlineStr">
        <is>
          <t>SponsorSync</t>
        </is>
      </c>
      <c r="H5" s="72" t="inlineStr">
        <is>
          <t>derived from channel id</t>
        </is>
      </c>
      <c r="I5" s="72" t="inlineStr">
        <is>
          <t>Primary key. RecentVideos joins on it. Never reassign.</t>
        </is>
      </c>
    </row>
    <row r="6" ht="15" customHeight="1" s="38">
      <c r="A6" s="72" t="inlineStr">
        <is>
          <t>name</t>
        </is>
      </c>
      <c r="B6" s="72" t="inlineStr">
        <is>
          <t>creator</t>
        </is>
      </c>
      <c r="C6" s="72" t="inlineStr">
        <is>
          <t>string</t>
        </is>
      </c>
      <c r="D6" s="72" t="inlineStr">
        <is>
          <t>display name</t>
        </is>
      </c>
      <c r="E6" s="72" t="inlineStr">
        <is>
          <t>2-60 chars</t>
        </is>
      </c>
      <c r="F6" s="72" t="inlineStr">
        <is>
          <t>yes</t>
        </is>
      </c>
      <c r="G6" s="72" t="inlineStr">
        <is>
          <t>YouTube</t>
        </is>
      </c>
      <c r="H6" s="72" t="inlineStr">
        <is>
          <t>channels.list &gt; snippet.title</t>
        </is>
      </c>
      <c r="I6" s="72" t="inlineStr">
        <is>
          <t>Channel display name, not legal name.</t>
        </is>
      </c>
    </row>
    <row r="7" ht="15" customHeight="1" s="38">
      <c r="A7" s="72" t="inlineStr">
        <is>
          <t>handle</t>
        </is>
      </c>
      <c r="B7" s="72" t="inlineStr">
        <is>
          <t>creator</t>
        </is>
      </c>
      <c r="C7" s="72" t="inlineStr">
        <is>
          <t>string</t>
        </is>
      </c>
      <c r="D7" s="72" t="inlineStr">
        <is>
          <t>@handle</t>
        </is>
      </c>
      <c r="E7" s="72" t="inlineStr">
        <is>
          <t>starts with @, unique</t>
        </is>
      </c>
      <c r="F7" s="72" t="inlineStr">
        <is>
          <t>yes</t>
        </is>
      </c>
      <c r="G7" s="72" t="inlineStr">
        <is>
          <t>YouTube</t>
        </is>
      </c>
      <c r="H7" s="72" t="inlineStr">
        <is>
          <t>channels.list &gt; snippet.customUrl</t>
        </is>
      </c>
      <c r="I7" s="72" t="inlineStr">
        <is>
          <t>Stable identifier users recognise.</t>
        </is>
      </c>
    </row>
    <row r="8" ht="23.25" customHeight="1" s="38">
      <c r="A8" s="72" t="inlineStr">
        <is>
          <t>category</t>
        </is>
      </c>
      <c r="B8" s="72" t="inlineStr">
        <is>
          <t>creator</t>
        </is>
      </c>
      <c r="C8" s="72" t="inlineStr">
        <is>
          <t>enum</t>
        </is>
      </c>
      <c r="D8" s="72" t="inlineStr">
        <is>
          <t>text</t>
        </is>
      </c>
      <c r="E8" s="72" t="inlineStr">
        <is>
          <t>see Feature benchmarks tab</t>
        </is>
      </c>
      <c r="F8" s="72" t="inlineStr">
        <is>
          <t>yes</t>
        </is>
      </c>
      <c r="G8" s="72" t="inlineStr">
        <is>
          <t>SponsorSync</t>
        </is>
      </c>
      <c r="H8" s="72" t="inlineStr">
        <is>
          <t>inferred from videos.list &gt; snippet.categoryId + titles</t>
        </is>
      </c>
      <c r="I8" s="72" t="inlineStr">
        <is>
          <t>YouTube's own category list is too coarse for sponsorship matching, so we classify ourselves.</t>
        </is>
      </c>
    </row>
    <row r="9" ht="23.25" customHeight="1" s="38">
      <c r="A9" s="72" t="inlineStr">
        <is>
          <t>tier</t>
        </is>
      </c>
      <c r="B9" s="72" t="inlineStr">
        <is>
          <t>creator</t>
        </is>
      </c>
      <c r="C9" s="72" t="inlineStr">
        <is>
          <t>enum</t>
        </is>
      </c>
      <c r="D9" s="72" t="inlineStr">
        <is>
          <t>text</t>
        </is>
      </c>
      <c r="E9" s="72" t="inlineStr">
        <is>
          <t>Nano / Micro / Mid-tier</t>
        </is>
      </c>
      <c r="F9" s="72" t="inlineStr">
        <is>
          <t>yes</t>
        </is>
      </c>
      <c r="G9" s="72" t="inlineStr">
        <is>
          <t>derived</t>
        </is>
      </c>
      <c r="H9" s="72" t="inlineStr">
        <is>
          <t>binned from subscriberCount</t>
        </is>
      </c>
      <c r="I9" s="72" t="inlineStr">
        <is>
          <t>Boundaries at 10K and 100K. Must match the filter buttons on /creators.</t>
        </is>
      </c>
    </row>
    <row r="10" ht="23.25" customHeight="1" s="38">
      <c r="A10" s="72" t="inlineStr">
        <is>
          <t>subscribers</t>
        </is>
      </c>
      <c r="B10" s="72" t="inlineStr">
        <is>
          <t>creator</t>
        </is>
      </c>
      <c r="C10" s="72" t="inlineStr">
        <is>
          <t>integer</t>
        </is>
      </c>
      <c r="D10" s="72" t="inlineStr">
        <is>
          <t>#,##0</t>
        </is>
      </c>
      <c r="E10" s="72" t="inlineStr">
        <is>
          <t>0 - 500,000,000</t>
        </is>
      </c>
      <c r="F10" s="72" t="inlineStr">
        <is>
          <t>yes</t>
        </is>
      </c>
      <c r="G10" s="72" t="inlineStr">
        <is>
          <t>YouTube</t>
        </is>
      </c>
      <c r="H10" s="72" t="inlineStr">
        <is>
          <t>channels.list &gt; statistics.subscriberCount</t>
        </is>
      </c>
      <c r="I10" s="72" t="inlineStr">
        <is>
          <t>Rounded by the API to 3 significant figures, and absent entirely when the channel hides it. See cleaning rule C4.</t>
        </is>
      </c>
    </row>
    <row r="11" ht="23.25" customHeight="1" s="38">
      <c r="A11" s="72" t="inlineStr">
        <is>
          <t>avg_views</t>
        </is>
      </c>
      <c r="B11" s="72" t="inlineStr">
        <is>
          <t>creator</t>
        </is>
      </c>
      <c r="C11" s="72" t="inlineStr">
        <is>
          <t>integer</t>
        </is>
      </c>
      <c r="D11" s="72" t="inlineStr">
        <is>
          <t>#,##0</t>
        </is>
      </c>
      <c r="E11" s="72" t="inlineStr">
        <is>
          <t>0 - 100,000,000</t>
        </is>
      </c>
      <c r="F11" s="72" t="inlineStr">
        <is>
          <t>yes</t>
        </is>
      </c>
      <c r="G11" s="72" t="inlineStr">
        <is>
          <t>derived</t>
        </is>
      </c>
      <c r="H11" s="72" t="inlineStr">
        <is>
          <t>mean of videos.list &gt; statistics.viewCount</t>
        </is>
      </c>
      <c r="I11" s="72" t="inlineStr">
        <is>
          <t>Mean of the last N public videos. Excludes Shorts unless flagged - mixing them distorts the mean badly.</t>
        </is>
      </c>
    </row>
    <row r="12" ht="23.25" customHeight="1" s="38">
      <c r="A12" s="72" t="inlineStr">
        <is>
          <t>engagement_rate</t>
        </is>
      </c>
      <c r="B12" s="72" t="inlineStr">
        <is>
          <t>creator</t>
        </is>
      </c>
      <c r="C12" s="72" t="inlineStr">
        <is>
          <t>decimal</t>
        </is>
      </c>
      <c r="D12" s="72" t="inlineStr">
        <is>
          <t>0.0%</t>
        </is>
      </c>
      <c r="E12" s="72" t="inlineStr">
        <is>
          <t>0.000 - 0.300</t>
        </is>
      </c>
      <c r="F12" s="72" t="inlineStr">
        <is>
          <t>yes</t>
        </is>
      </c>
      <c r="G12" s="72" t="inlineStr">
        <is>
          <t>derived</t>
        </is>
      </c>
      <c r="H12" s="72" t="inlineStr">
        <is>
          <t>(likeCount + commentCount) / viewCount</t>
        </is>
      </c>
      <c r="I12" s="72" t="inlineStr">
        <is>
          <t>Stored as a fraction. Above 30% almost always means bot activity or a tiny denominator.</t>
        </is>
      </c>
    </row>
    <row r="13" ht="23.25" customHeight="1" s="38">
      <c r="A13" s="72" t="inlineStr">
        <is>
          <t>view_to_sub_ratio</t>
        </is>
      </c>
      <c r="B13" s="72" t="inlineStr">
        <is>
          <t>creator</t>
        </is>
      </c>
      <c r="C13" s="72" t="inlineStr">
        <is>
          <t>decimal</t>
        </is>
      </c>
      <c r="D13" s="72" t="inlineStr">
        <is>
          <t>0%</t>
        </is>
      </c>
      <c r="E13" s="72" t="inlineStr">
        <is>
          <t>0.00 - 5.00</t>
        </is>
      </c>
      <c r="F13" s="72" t="inlineStr">
        <is>
          <t>no</t>
        </is>
      </c>
      <c r="G13" s="72" t="inlineStr">
        <is>
          <t>derived</t>
        </is>
      </c>
      <c r="H13" s="72" t="inlineStr">
        <is>
          <t>avg_views / subscriberCount</t>
        </is>
      </c>
      <c r="I13" s="72" t="inlineStr">
        <is>
          <t>Above 1.00 means reach exceeds the subscriber base, typically via Shorts or search.</t>
        </is>
      </c>
    </row>
    <row r="14" ht="23.25" customHeight="1" s="38">
      <c r="A14" s="72" t="inlineStr">
        <is>
          <t>channel_verified</t>
        </is>
      </c>
      <c r="B14" s="72" t="inlineStr">
        <is>
          <t>creator</t>
        </is>
      </c>
      <c r="C14" s="72" t="inlineStr">
        <is>
          <t>boolean</t>
        </is>
      </c>
      <c r="D14" s="72" t="inlineStr">
        <is>
          <t>TRUE / FALSE</t>
        </is>
      </c>
      <c r="E14" s="72" t="inlineStr">
        <is>
          <t>TRUE / FALSE</t>
        </is>
      </c>
      <c r="F14" s="72" t="inlineStr">
        <is>
          <t>yes</t>
        </is>
      </c>
      <c r="G14" s="72" t="inlineStr">
        <is>
          <t>SponsorSync</t>
        </is>
      </c>
      <c r="H14" s="72" t="inlineStr">
        <is>
          <t>OAuth channel-ownership handshake</t>
        </is>
      </c>
      <c r="I14" s="72" t="inlineStr">
        <is>
          <t>Distinct from a sponsor's business verification. Do not conflate the two in the UI.</t>
        </is>
      </c>
    </row>
    <row r="15" ht="23.25" customHeight="1" s="38">
      <c r="A15" s="72" t="inlineStr">
        <is>
          <t>safety_score</t>
        </is>
      </c>
      <c r="B15" s="72" t="inlineStr">
        <is>
          <t>creator</t>
        </is>
      </c>
      <c r="C15" s="72" t="inlineStr">
        <is>
          <t>integer</t>
        </is>
      </c>
      <c r="D15" s="72" t="inlineStr">
        <is>
          <t>0-100</t>
        </is>
      </c>
      <c r="E15" s="72" t="inlineStr">
        <is>
          <t>0 - 100</t>
        </is>
      </c>
      <c r="F15" s="72" t="inlineStr">
        <is>
          <t>yes</t>
        </is>
      </c>
      <c r="G15" s="72" t="inlineStr">
        <is>
          <t>SponsorSync</t>
        </is>
      </c>
      <c r="H15" s="72" t="inlineStr">
        <is>
          <t>model output over titles, tags, comments</t>
        </is>
      </c>
      <c r="I15" s="72" t="inlineStr">
        <is>
          <t>Composite brand-safety rating. Needs a documented rubric before launch.</t>
        </is>
      </c>
    </row>
    <row r="16" ht="23.25" customHeight="1" s="38">
      <c r="A16" s="72" t="inlineStr">
        <is>
          <t>audience_age</t>
        </is>
      </c>
      <c r="B16" s="72" t="inlineStr">
        <is>
          <t>creator</t>
        </is>
      </c>
      <c r="C16" s="72" t="inlineStr">
        <is>
          <t>enum</t>
        </is>
      </c>
      <c r="D16" s="72" t="inlineStr">
        <is>
          <t>band</t>
        </is>
      </c>
      <c r="E16" s="72" t="inlineStr">
        <is>
          <t>18-24 / 25-34 / 25-44 / 30-44</t>
        </is>
      </c>
      <c r="F16" s="72" t="inlineStr">
        <is>
          <t>no</t>
        </is>
      </c>
      <c r="G16" s="72" t="inlineStr">
        <is>
          <t>YouTube</t>
        </is>
      </c>
      <c r="H16" s="72" t="inlineStr">
        <is>
          <t>youtubeAnalytics viewerPercentage by ageGroup</t>
        </is>
      </c>
      <c r="I16" s="72" t="inlineStr">
        <is>
          <t>Only the channel owner can authorise this. Without consent it is null - see cleaning rule C6.</t>
        </is>
      </c>
    </row>
    <row r="17" ht="23.25" customHeight="1" s="38">
      <c r="A17" s="72" t="inlineStr">
        <is>
          <t>audience_gender</t>
        </is>
      </c>
      <c r="B17" s="72" t="inlineStr">
        <is>
          <t>creator</t>
        </is>
      </c>
      <c r="C17" s="72" t="inlineStr">
        <is>
          <t>string</t>
        </is>
      </c>
      <c r="D17" s="72" t="inlineStr">
        <is>
          <t>NN% F or NN% M</t>
        </is>
      </c>
      <c r="E17" s="72" t="inlineStr">
        <is>
          <t>0-100%</t>
        </is>
      </c>
      <c r="F17" s="72" t="inlineStr">
        <is>
          <t>no</t>
        </is>
      </c>
      <c r="G17" s="72" t="inlineStr">
        <is>
          <t>YouTube</t>
        </is>
      </c>
      <c r="H17" s="72" t="inlineStr">
        <is>
          <t>youtubeAnalytics viewerPercentage by gender</t>
        </is>
      </c>
      <c r="I17" s="72" t="inlineStr">
        <is>
          <t>Same consent constraint as audience_age.</t>
        </is>
      </c>
    </row>
    <row r="18" ht="23.25" customHeight="1" s="38">
      <c r="A18" s="72" t="inlineStr">
        <is>
          <t>top_country</t>
        </is>
      </c>
      <c r="B18" s="72" t="inlineStr">
        <is>
          <t>creator</t>
        </is>
      </c>
      <c r="C18" s="72" t="inlineStr">
        <is>
          <t>string</t>
        </is>
      </c>
      <c r="D18" s="72" t="inlineStr">
        <is>
          <t>ISO-3166 alpha-2</t>
        </is>
      </c>
      <c r="E18" s="72" t="inlineStr">
        <is>
          <t>2 uppercase letters</t>
        </is>
      </c>
      <c r="F18" s="72" t="inlineStr">
        <is>
          <t>no</t>
        </is>
      </c>
      <c r="G18" s="72" t="inlineStr">
        <is>
          <t>YouTube</t>
        </is>
      </c>
      <c r="H18" s="72" t="inlineStr">
        <is>
          <t>youtubeAnalytics by country</t>
        </is>
      </c>
      <c r="I18" s="72" t="inlineStr">
        <is>
          <t>Single largest country only. Store the full distribution later if geo-targeting matters.</t>
        </is>
      </c>
    </row>
    <row r="19" ht="23.25" customHeight="1" s="38">
      <c r="A19" s="72" t="inlineStr">
        <is>
          <t>upload_cadence</t>
        </is>
      </c>
      <c r="B19" s="72" t="inlineStr">
        <is>
          <t>creator</t>
        </is>
      </c>
      <c r="C19" s="72" t="inlineStr">
        <is>
          <t>string</t>
        </is>
      </c>
      <c r="D19" s="72" t="inlineStr">
        <is>
          <t>N / week</t>
        </is>
      </c>
      <c r="E19" s="72" t="inlineStr">
        <is>
          <t>free text</t>
        </is>
      </c>
      <c r="F19" s="72" t="inlineStr">
        <is>
          <t>no</t>
        </is>
      </c>
      <c r="G19" s="72" t="inlineStr">
        <is>
          <t>derived</t>
        </is>
      </c>
      <c r="H19" s="72" t="inlineStr">
        <is>
          <t>count of publishedAt over trailing 90 days</t>
        </is>
      </c>
      <c r="I19" s="72" t="inlineStr">
        <is>
          <t>Store as a number once real data lands - text does not sort or filter.</t>
        </is>
      </c>
    </row>
    <row r="20" ht="15" customHeight="1" s="38">
      <c r="A20" s="72" t="inlineStr">
        <is>
          <t>avg_length_min</t>
        </is>
      </c>
      <c r="B20" s="72" t="inlineStr">
        <is>
          <t>creator</t>
        </is>
      </c>
      <c r="C20" s="72" t="inlineStr">
        <is>
          <t>integer</t>
        </is>
      </c>
      <c r="D20" s="72" t="inlineStr">
        <is>
          <t>minutes</t>
        </is>
      </c>
      <c r="E20" s="72" t="inlineStr">
        <is>
          <t>0 - 240</t>
        </is>
      </c>
      <c r="F20" s="72" t="inlineStr">
        <is>
          <t>no</t>
        </is>
      </c>
      <c r="G20" s="72" t="inlineStr">
        <is>
          <t>derived</t>
        </is>
      </c>
      <c r="H20" s="72" t="inlineStr">
        <is>
          <t>mean of contentDetails.duration</t>
        </is>
      </c>
      <c r="I20" s="72" t="inlineStr">
        <is>
          <t>Separates Shorts-led channels from long-form ones.</t>
        </is>
      </c>
    </row>
    <row r="21" ht="23.25" customHeight="1" s="38">
      <c r="A21" s="72" t="inlineStr">
        <is>
          <t>rate_integrated</t>
        </is>
      </c>
      <c r="B21" s="72" t="inlineStr">
        <is>
          <t>creator</t>
        </is>
      </c>
      <c r="C21" s="72" t="inlineStr">
        <is>
          <t>currency</t>
        </is>
      </c>
      <c r="D21" s="72" t="inlineStr">
        <is>
          <t>$#,##0</t>
        </is>
      </c>
      <c r="E21" s="72" t="inlineStr">
        <is>
          <t>&gt; 0</t>
        </is>
      </c>
      <c r="F21" s="72" t="inlineStr">
        <is>
          <t>yes</t>
        </is>
      </c>
      <c r="G21" s="72" t="inlineStr">
        <is>
          <t>creator</t>
        </is>
      </c>
      <c r="H21" s="72" t="inlineStr">
        <is>
          <t>not available from any API</t>
        </is>
      </c>
      <c r="I21" s="72" t="inlineStr">
        <is>
          <t>Creator-declared price for a mention inside a longer video.</t>
        </is>
      </c>
    </row>
    <row r="22" ht="23.25" customHeight="1" s="38">
      <c r="A22" s="72" t="inlineStr">
        <is>
          <t>rate_dedicated</t>
        </is>
      </c>
      <c r="B22" s="72" t="inlineStr">
        <is>
          <t>creator</t>
        </is>
      </c>
      <c r="C22" s="72" t="inlineStr">
        <is>
          <t>currency</t>
        </is>
      </c>
      <c r="D22" s="72" t="inlineStr">
        <is>
          <t>$#,##0</t>
        </is>
      </c>
      <c r="E22" s="72" t="inlineStr">
        <is>
          <t>&gt; 0</t>
        </is>
      </c>
      <c r="F22" s="72" t="inlineStr">
        <is>
          <t>yes</t>
        </is>
      </c>
      <c r="G22" s="72" t="inlineStr">
        <is>
          <t>creator</t>
        </is>
      </c>
      <c r="H22" s="72" t="inlineStr">
        <is>
          <t>not available from any API</t>
        </is>
      </c>
      <c r="I22" s="72" t="inlineStr">
        <is>
          <t>Creator-declared price for a whole video. This is the headline rate.</t>
        </is>
      </c>
    </row>
    <row r="23" ht="15" customHeight="1" s="38">
      <c r="A23" s="72" t="inlineStr">
        <is>
          <t>rate_short</t>
        </is>
      </c>
      <c r="B23" s="72" t="inlineStr">
        <is>
          <t>creator</t>
        </is>
      </c>
      <c r="C23" s="72" t="inlineStr">
        <is>
          <t>currency</t>
        </is>
      </c>
      <c r="D23" s="72" t="inlineStr">
        <is>
          <t>$#,##0</t>
        </is>
      </c>
      <c r="E23" s="72" t="inlineStr">
        <is>
          <t>&gt; 0</t>
        </is>
      </c>
      <c r="F23" s="72" t="inlineStr">
        <is>
          <t>yes</t>
        </is>
      </c>
      <c r="G23" s="72" t="inlineStr">
        <is>
          <t>creator</t>
        </is>
      </c>
      <c r="H23" s="72" t="inlineStr">
        <is>
          <t>not available from any API</t>
        </is>
      </c>
      <c r="I23" s="72" t="inlineStr">
        <is>
          <t>Creator-declared price for a Short.</t>
        </is>
      </c>
    </row>
    <row r="24" ht="23.25" customHeight="1" s="38">
      <c r="A24" s="72" t="inlineStr">
        <is>
          <t>cost_per_1k_views</t>
        </is>
      </c>
      <c r="B24" s="72" t="inlineStr">
        <is>
          <t>creator</t>
        </is>
      </c>
      <c r="C24" s="72" t="inlineStr">
        <is>
          <t>currency</t>
        </is>
      </c>
      <c r="D24" s="72" t="inlineStr">
        <is>
          <t>$#,##0.0</t>
        </is>
      </c>
      <c r="E24" s="72" t="inlineStr">
        <is>
          <t>&gt; 0</t>
        </is>
      </c>
      <c r="F24" s="72" t="inlineStr">
        <is>
          <t>no</t>
        </is>
      </c>
      <c r="G24" s="72" t="inlineStr">
        <is>
          <t>derived</t>
        </is>
      </c>
      <c r="H24" s="72" t="inlineStr">
        <is>
          <t>rate_dedicated / avg_views x 1000</t>
        </is>
      </c>
      <c r="I24" s="72" t="inlineStr">
        <is>
          <t>The only cross-tier comparable price metric. Raw price is not comparable.</t>
        </is>
      </c>
    </row>
    <row r="25" ht="23.25" customHeight="1" s="38">
      <c r="A25" s="72" t="inlineStr">
        <is>
          <t>video_title</t>
        </is>
      </c>
      <c r="B25" s="72" t="inlineStr">
        <is>
          <t>video</t>
        </is>
      </c>
      <c r="C25" s="72" t="inlineStr">
        <is>
          <t>string</t>
        </is>
      </c>
      <c r="D25" s="72" t="inlineStr">
        <is>
          <t>text</t>
        </is>
      </c>
      <c r="E25" s="72" t="inlineStr">
        <is>
          <t>1-200 chars</t>
        </is>
      </c>
      <c r="F25" s="72" t="inlineStr">
        <is>
          <t>yes</t>
        </is>
      </c>
      <c r="G25" s="72" t="inlineStr">
        <is>
          <t>YouTube</t>
        </is>
      </c>
      <c r="H25" s="72" t="inlineStr">
        <is>
          <t>videos.list &gt; snippet.title</t>
        </is>
      </c>
      <c r="I25" s="72" t="inlineStr">
        <is>
          <t>The main text signal for campaign fit and for drafting a personalized brief.</t>
        </is>
      </c>
    </row>
    <row r="26" ht="23.25" customHeight="1" s="38">
      <c r="A26" s="72" t="inlineStr">
        <is>
          <t>days_ago</t>
        </is>
      </c>
      <c r="B26" s="72" t="inlineStr">
        <is>
          <t>video</t>
        </is>
      </c>
      <c r="C26" s="72" t="inlineStr">
        <is>
          <t>integer</t>
        </is>
      </c>
      <c r="D26" s="72" t="inlineStr">
        <is>
          <t>days</t>
        </is>
      </c>
      <c r="E26" s="72" t="inlineStr">
        <is>
          <t>0 - 365</t>
        </is>
      </c>
      <c r="F26" s="72" t="inlineStr">
        <is>
          <t>yes</t>
        </is>
      </c>
      <c r="G26" s="72" t="inlineStr">
        <is>
          <t>derived</t>
        </is>
      </c>
      <c r="H26" s="72" t="inlineStr">
        <is>
          <t>today - snippet.publishedAt</t>
        </is>
      </c>
      <c r="I26" s="72" t="inlineStr">
        <is>
          <t>Relative rather than absolute so the demo never goes stale.</t>
        </is>
      </c>
    </row>
    <row r="27" ht="23.25" customHeight="1" s="38">
      <c r="A27" s="72" t="inlineStr">
        <is>
          <t>views</t>
        </is>
      </c>
      <c r="B27" s="72" t="inlineStr">
        <is>
          <t>video</t>
        </is>
      </c>
      <c r="C27" s="72" t="inlineStr">
        <is>
          <t>integer</t>
        </is>
      </c>
      <c r="D27" s="72" t="inlineStr">
        <is>
          <t>#,##0</t>
        </is>
      </c>
      <c r="E27" s="72" t="inlineStr">
        <is>
          <t>&gt;= 0</t>
        </is>
      </c>
      <c r="F27" s="72" t="inlineStr">
        <is>
          <t>yes</t>
        </is>
      </c>
      <c r="G27" s="72" t="inlineStr">
        <is>
          <t>YouTube</t>
        </is>
      </c>
      <c r="H27" s="72" t="inlineStr">
        <is>
          <t>videos.list &gt; statistics.viewCount</t>
        </is>
      </c>
      <c r="I27" s="72" t="inlineStr">
        <is>
          <t>Keeps climbing after publication - always store the date of capture.</t>
        </is>
      </c>
    </row>
    <row r="28" ht="23.25" customHeight="1" s="38">
      <c r="A28" s="72" t="inlineStr">
        <is>
          <t>likes</t>
        </is>
      </c>
      <c r="B28" s="72" t="inlineStr">
        <is>
          <t>video</t>
        </is>
      </c>
      <c r="C28" s="72" t="inlineStr">
        <is>
          <t>integer</t>
        </is>
      </c>
      <c r="D28" s="72" t="inlineStr">
        <is>
          <t>#,##0</t>
        </is>
      </c>
      <c r="E28" s="72" t="inlineStr">
        <is>
          <t>&gt;= 0</t>
        </is>
      </c>
      <c r="F28" s="72" t="inlineStr">
        <is>
          <t>yes</t>
        </is>
      </c>
      <c r="G28" s="72" t="inlineStr">
        <is>
          <t>YouTube</t>
        </is>
      </c>
      <c r="H28" s="72" t="inlineStr">
        <is>
          <t>videos.list &gt; statistics.likeCount</t>
        </is>
      </c>
      <c r="I28" s="72" t="inlineStr">
        <is>
          <t>Null when the channel hides likes. Treat null as unknown, never as zero.</t>
        </is>
      </c>
    </row>
    <row r="29" ht="15" customHeight="1" s="38">
      <c r="A29" s="72" t="inlineStr">
        <is>
          <t>comments</t>
        </is>
      </c>
      <c r="B29" s="72" t="inlineStr">
        <is>
          <t>video</t>
        </is>
      </c>
      <c r="C29" s="72" t="inlineStr">
        <is>
          <t>integer</t>
        </is>
      </c>
      <c r="D29" s="72" t="inlineStr">
        <is>
          <t>#,##0</t>
        </is>
      </c>
      <c r="E29" s="72" t="inlineStr">
        <is>
          <t>&gt;= 0</t>
        </is>
      </c>
      <c r="F29" s="72" t="inlineStr">
        <is>
          <t>yes</t>
        </is>
      </c>
      <c r="G29" s="72" t="inlineStr">
        <is>
          <t>YouTube</t>
        </is>
      </c>
      <c r="H29" s="72" t="inlineStr">
        <is>
          <t>videos.list &gt; statistics.commentCount</t>
        </is>
      </c>
      <c r="I29" s="72" t="inlineStr">
        <is>
          <t>Null when comments are disabled. Same rule as likes.</t>
        </is>
      </c>
    </row>
    <row r="30" ht="23.25" customHeight="1" s="38">
      <c r="A30" s="72" t="inlineStr">
        <is>
          <t>had_sponsor</t>
        </is>
      </c>
      <c r="B30" s="72" t="inlineStr">
        <is>
          <t>video</t>
        </is>
      </c>
      <c r="C30" s="72" t="inlineStr">
        <is>
          <t>boolean</t>
        </is>
      </c>
      <c r="D30" s="72" t="inlineStr">
        <is>
          <t>TRUE / FALSE</t>
        </is>
      </c>
      <c r="E30" s="72" t="inlineStr">
        <is>
          <t>TRUE / FALSE</t>
        </is>
      </c>
      <c r="F30" s="72" t="inlineStr">
        <is>
          <t>no</t>
        </is>
      </c>
      <c r="G30" s="72" t="inlineStr">
        <is>
          <t>derived</t>
        </is>
      </c>
      <c r="H30" s="72" t="inlineStr">
        <is>
          <t>snippet.description + paidProductPlacement flag</t>
        </is>
      </c>
      <c r="I30" s="72" t="inlineStr">
        <is>
          <t>Feeds the sponsor-saturation feature.</t>
        </is>
      </c>
    </row>
    <row r="31" ht="23.25" customHeight="1" s="38">
      <c r="A31" s="72" t="inlineStr">
        <is>
          <t>topic_tags</t>
        </is>
      </c>
      <c r="B31" s="72" t="inlineStr">
        <is>
          <t>video</t>
        </is>
      </c>
      <c r="C31" s="72" t="inlineStr">
        <is>
          <t>list</t>
        </is>
      </c>
      <c r="D31" s="72" t="inlineStr">
        <is>
          <t>semicolon-separated</t>
        </is>
      </c>
      <c r="E31" s="72" t="inlineStr">
        <is>
          <t>1-6 tags</t>
        </is>
      </c>
      <c r="F31" s="72" t="inlineStr">
        <is>
          <t>no</t>
        </is>
      </c>
      <c r="G31" s="72" t="inlineStr">
        <is>
          <t>derived</t>
        </is>
      </c>
      <c r="H31" s="72" t="inlineStr">
        <is>
          <t>snippet.tags + title classification</t>
        </is>
      </c>
      <c r="I31" s="72" t="inlineStr">
        <is>
          <t>Semicolon rather than comma so the field survives a CSV round-trip.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37" min="1" max="1"/>
    <col width="20" customWidth="1" style="37" min="2" max="2"/>
    <col width="40" customWidth="1" style="37" min="3" max="3"/>
    <col width="48" customWidth="1" style="37" min="4" max="4"/>
    <col width="34" customWidth="1" style="37" min="5" max="5"/>
  </cols>
  <sheetData>
    <row r="1" ht="17.25" customHeight="1" s="38">
      <c r="A1" s="39" t="inlineStr">
        <is>
          <t>Cleaning and validation rules</t>
        </is>
      </c>
    </row>
    <row r="2" ht="30" customHeight="1" s="38">
      <c r="A2" s="71" t="inlineStr">
        <is>
          <t>Rules C1-C6 are the ones real YouTube data will break on. The validation panel below runs live against the Creators and RecentVideos tabs, so a bad edit shows up before the developer imports it.</t>
        </is>
      </c>
    </row>
    <row r="4" ht="30" customHeight="1" s="38">
      <c r="A4" s="41" t="inlineStr">
        <is>
          <t>rule</t>
        </is>
      </c>
      <c r="B4" s="41" t="inlineStr">
        <is>
          <t>applies to</t>
        </is>
      </c>
      <c r="C4" s="41" t="inlineStr">
        <is>
          <t>the rule</t>
        </is>
      </c>
      <c r="D4" s="41" t="inlineStr">
        <is>
          <t>why it matters</t>
        </is>
      </c>
      <c r="E4" s="41" t="inlineStr">
        <is>
          <t>action on failure</t>
        </is>
      </c>
    </row>
    <row r="5" ht="23.25" customHeight="1" s="38">
      <c r="A5" s="73" t="inlineStr">
        <is>
          <t>C1</t>
        </is>
      </c>
      <c r="B5" s="72" t="inlineStr">
        <is>
          <t>creator_id</t>
        </is>
      </c>
      <c r="C5" s="72" t="inlineStr">
        <is>
          <t>Unique, lowercase, kebab-case, no whitespace.</t>
        </is>
      </c>
      <c r="D5" s="72" t="inlineStr">
        <is>
          <t>It is the join key to RecentVideos. A duplicate silently merges two creators' video histories.</t>
        </is>
      </c>
      <c r="E5" s="72" t="inlineStr">
        <is>
          <t>Reject the row, do not import.</t>
        </is>
      </c>
    </row>
    <row r="6" ht="34.5" customHeight="1" s="38">
      <c r="A6" s="73" t="inlineStr">
        <is>
          <t>C2</t>
        </is>
      </c>
      <c r="B6" s="72" t="inlineStr">
        <is>
          <t>engagement_rate</t>
        </is>
      </c>
      <c r="C6" s="72" t="inlineStr">
        <is>
          <t>Recompute from the video rows rather than trusting a stored value; flag anything above 30%.</t>
        </is>
      </c>
      <c r="D6" s="72" t="inlineStr">
        <is>
          <t>A stored rate can drift from its inputs after an edit. Extreme values usually mean bot engagement or a near-zero denominator.</t>
        </is>
      </c>
      <c r="E6" s="72" t="inlineStr">
        <is>
          <t>Recompute; flag outliers for review.</t>
        </is>
      </c>
    </row>
    <row r="7" ht="34.5" customHeight="1" s="38">
      <c r="A7" s="73" t="inlineStr">
        <is>
          <t>C3</t>
        </is>
      </c>
      <c r="B7" s="72" t="inlineStr">
        <is>
          <t>avg_views</t>
        </is>
      </c>
      <c r="C7" s="72" t="inlineStr">
        <is>
          <t>Exclude Shorts from the mean unless the channel is Shorts-led, and say which basis was used.</t>
        </is>
      </c>
      <c r="D7" s="72" t="inlineStr">
        <is>
          <t>A single viral Short can triple the mean and make the rate card look like a bargain that does not exist.</t>
        </is>
      </c>
      <c r="E7" s="72" t="inlineStr">
        <is>
          <t>Store both figures; label which one the UI shows.</t>
        </is>
      </c>
    </row>
    <row r="8" ht="34.5" customHeight="1" s="38">
      <c r="A8" s="73" t="inlineStr">
        <is>
          <t>C4</t>
        </is>
      </c>
      <c r="B8" s="72" t="inlineStr">
        <is>
          <t>subscribers</t>
        </is>
      </c>
      <c r="C8" s="72" t="inlineStr">
        <is>
          <t>Treat as approximate. Handle the hidden-count case explicitly.</t>
        </is>
      </c>
      <c r="D8" s="72" t="inlineStr">
        <is>
          <t>The API rounds subscriber counts to three significant figures, and returns nothing at all when a channel hides the number. Zero and unknown are not the same thing.</t>
        </is>
      </c>
      <c r="E8" s="72" t="inlineStr">
        <is>
          <t>Null, not 0. Assign tier from avg_views instead.</t>
        </is>
      </c>
    </row>
    <row r="9" ht="23.25" customHeight="1" s="38">
      <c r="A9" s="73" t="inlineStr">
        <is>
          <t>C5</t>
        </is>
      </c>
      <c r="B9" s="72" t="inlineStr">
        <is>
          <t>likes / comments</t>
        </is>
      </c>
      <c r="C9" s="72" t="inlineStr">
        <is>
          <t>Null when hidden or disabled; never coerce to zero.</t>
        </is>
      </c>
      <c r="D9" s="72" t="inlineStr">
        <is>
          <t>Coercing to zero drags engagement_rate down and makes a healthy creator look dead.</t>
        </is>
      </c>
      <c r="E9" s="72" t="inlineStr">
        <is>
          <t>Null, and exclude that video from the mean.</t>
        </is>
      </c>
    </row>
    <row r="10" ht="34.5" customHeight="1" s="38">
      <c r="A10" s="73" t="inlineStr">
        <is>
          <t>C6</t>
        </is>
      </c>
      <c r="B10" s="72" t="inlineStr">
        <is>
          <t>audience_age / gender / country</t>
        </is>
      </c>
      <c r="C10" s="72" t="inlineStr">
        <is>
          <t>Only present with the creator's analytics consent.</t>
        </is>
      </c>
      <c r="D10" s="72" t="inlineStr">
        <is>
          <t>These come from YouTube Analytics, which the channel owner must authorise. Most creators in a cold directory will have none of it.</t>
        </is>
      </c>
      <c r="E10" s="72" t="inlineStr">
        <is>
          <t>Fall back to a neutral audience score; never guess.</t>
        </is>
      </c>
    </row>
    <row r="11" ht="23.25" customHeight="1" s="38">
      <c r="A11" s="73" t="inlineStr">
        <is>
          <t>C7</t>
        </is>
      </c>
      <c r="B11" s="72" t="inlineStr">
        <is>
          <t>rate_* fields</t>
        </is>
      </c>
      <c r="C11" s="72" t="inlineStr">
        <is>
          <t>Positive, and rate_short &lt; rate_integrated &lt; rate_dedicated.</t>
        </is>
      </c>
      <c r="D11" s="72" t="inlineStr">
        <is>
          <t>An inverted ladder is the commonest data-entry slip and makes the whole rate card untrustworthy.</t>
        </is>
      </c>
      <c r="E11" s="72" t="inlineStr">
        <is>
          <t>Flag the row; ask the creator to confirm.</t>
        </is>
      </c>
    </row>
    <row r="12" ht="23.25" customHeight="1" s="38">
      <c r="A12" s="73" t="inlineStr">
        <is>
          <t>C8</t>
        </is>
      </c>
      <c r="B12" s="72" t="inlineStr">
        <is>
          <t>safety_score</t>
        </is>
      </c>
      <c r="C12" s="72" t="inlineStr">
        <is>
          <t>Integer 0-100, with real spread across the roster.</t>
        </is>
      </c>
      <c r="D12" s="72" t="inlineStr">
        <is>
          <t>If every creator scores above 90 the metric carries no information and reviewers stop reading it.</t>
        </is>
      </c>
      <c r="E12" s="72" t="inlineStr">
        <is>
          <t>Flag if the roster standard deviation is too low.</t>
        </is>
      </c>
    </row>
    <row r="13" ht="23.25" customHeight="1" s="38">
      <c r="A13" s="73" t="inlineStr">
        <is>
          <t>C9</t>
        </is>
      </c>
      <c r="B13" s="72" t="inlineStr">
        <is>
          <t>category</t>
        </is>
      </c>
      <c r="C13" s="72" t="inlineStr">
        <is>
          <t>Must be one of the values on the Feature benchmarks tab.</t>
        </is>
      </c>
      <c r="D13" s="72" t="inlineStr">
        <is>
          <t>A free-text category cannot be matched, filtered or benchmarked against a tier norm.</t>
        </is>
      </c>
      <c r="E13" s="72" t="inlineStr">
        <is>
          <t>Map to the nearest listed value or reject.</t>
        </is>
      </c>
    </row>
    <row r="14" ht="23.25" customHeight="1" s="38">
      <c r="A14" s="73" t="inlineStr">
        <is>
          <t>C10</t>
        </is>
      </c>
      <c r="B14" s="72" t="inlineStr">
        <is>
          <t>video rows</t>
        </is>
      </c>
      <c r="C14" s="72" t="inlineStr">
        <is>
          <t>At least 3 recent videos per creator, most recent within 30 days.</t>
        </is>
      </c>
      <c r="D14" s="72" t="inlineStr">
        <is>
          <t>A personalized brief and a fit score both need recent content. Below 3 videos the signal is noise.</t>
        </is>
      </c>
      <c r="E14" s="72" t="inlineStr">
        <is>
          <t>Exclude the creator from AI Match.</t>
        </is>
      </c>
    </row>
    <row r="17" ht="15" customHeight="1" s="38">
      <c r="A17" s="59" t="inlineStr">
        <is>
          <t>LIVE VALIDATION</t>
        </is>
      </c>
    </row>
    <row r="18" ht="30" customHeight="1" s="38">
      <c r="A18" s="41" t="inlineStr">
        <is>
          <t>check</t>
        </is>
      </c>
      <c r="B18" s="41" t="inlineStr">
        <is>
          <t>expected</t>
        </is>
      </c>
      <c r="C18" s="41" t="inlineStr">
        <is>
          <t>actual</t>
        </is>
      </c>
      <c r="D18" s="41" t="inlineStr">
        <is>
          <t>status</t>
        </is>
      </c>
      <c r="E18" s="41" t="n"/>
    </row>
    <row r="19" ht="15" customHeight="1" s="38">
      <c r="A19" s="65" t="inlineStr">
        <is>
          <t>Creator rows</t>
        </is>
      </c>
      <c r="B19" s="65" t="inlineStr">
        <is>
          <t>18</t>
        </is>
      </c>
      <c r="C19" s="81">
        <f>COUNTA(Creators!$A$5:$A$22)</f>
        <v/>
      </c>
      <c r="D19" s="82">
        <f>IF(C19=18,"PASS","CHECK")</f>
        <v/>
      </c>
    </row>
    <row r="20" ht="15" customHeight="1" s="38">
      <c r="A20" s="65" t="inlineStr">
        <is>
          <t>Duplicate creator_id</t>
        </is>
      </c>
      <c r="B20" s="65" t="inlineStr">
        <is>
          <t>0</t>
        </is>
      </c>
      <c r="C20" s="81">
        <f>COUNTA(Creators!$A$5:$A$22)-SUMPRODUCT(1/COUNTIF(Creators!$A$5:$A$22,Creators!$A$5:$A$22))</f>
        <v/>
      </c>
      <c r="D20" s="82">
        <f>IF(C20=0,"PASS","CHECK")</f>
        <v/>
      </c>
    </row>
    <row r="21" ht="15" customHeight="1" s="38">
      <c r="A21" s="65" t="inlineStr">
        <is>
          <t>Engagement rate above 30%</t>
        </is>
      </c>
      <c r="B21" s="65" t="inlineStr">
        <is>
          <t>0</t>
        </is>
      </c>
      <c r="C21" s="81">
        <f>COUNTIF(Creators!$H$5:$H$22,"&gt;0.3")</f>
        <v/>
      </c>
      <c r="D21" s="82">
        <f>IF(C21=0,"PASS","CHECK")</f>
        <v/>
      </c>
    </row>
    <row r="22" ht="15" customHeight="1" s="38">
      <c r="A22" s="65" t="inlineStr">
        <is>
          <t>Inverted rate ladder</t>
        </is>
      </c>
      <c r="B22" s="65" t="inlineStr">
        <is>
          <t>0</t>
        </is>
      </c>
      <c r="C22" s="81">
        <f>SUMPRODUCT(--(Creators!$S$5:$S$22&gt;=Creators!$Q$5:$Q$22))+SUMPRODUCT(--(Creators!$Q$5:$Q$22&gt;=Creators!$R$5:$R$22))</f>
        <v/>
      </c>
      <c r="D22" s="82">
        <f>IF(C22=0,"PASS","CHECK")</f>
        <v/>
      </c>
    </row>
    <row r="23" ht="15" customHeight="1" s="38">
      <c r="A23" s="65" t="inlineStr">
        <is>
          <t>Safety score out of range</t>
        </is>
      </c>
      <c r="B23" s="65" t="inlineStr">
        <is>
          <t>0</t>
        </is>
      </c>
      <c r="C23" s="81">
        <f>COUNTIF(Creators!$K$5:$K$22,"&lt;0")+COUNTIF(Creators!$K$5:$K$22,"&gt;100")</f>
        <v/>
      </c>
      <c r="D23" s="82">
        <f>IF(C23=0,"PASS","CHECK")</f>
        <v/>
      </c>
    </row>
    <row r="24" ht="15" customHeight="1" s="38">
      <c r="A24" s="65" t="inlineStr">
        <is>
          <t>Safety score spread (max-min)</t>
        </is>
      </c>
      <c r="B24" s="65" t="inlineStr">
        <is>
          <t>at least 20</t>
        </is>
      </c>
      <c r="C24" s="81">
        <f>MAX(Creators!$K$5:$K$22)-MIN(Creators!$K$5:$K$22)</f>
        <v/>
      </c>
      <c r="D24" s="82">
        <f>"review"</f>
        <v/>
      </c>
    </row>
    <row r="25" ht="15" customHeight="1" s="38">
      <c r="A25" s="65" t="inlineStr">
        <is>
          <t>Creators with fewer than 3 videos</t>
        </is>
      </c>
      <c r="B25" s="65" t="inlineStr">
        <is>
          <t>0</t>
        </is>
      </c>
      <c r="C25" s="81">
        <f>SUMPRODUCT(--(COUNTIF(RecentVideos!$A$5:$A$58,Creators!$A$5:$A$22)&lt;3))</f>
        <v/>
      </c>
      <c r="D25" s="82">
        <f>IF(C25=0,"PASS","CHECK")</f>
        <v/>
      </c>
    </row>
    <row r="26" ht="15" customHeight="1" s="38">
      <c r="A26" s="65" t="inlineStr">
        <is>
          <t>Most recent video older than 30 days</t>
        </is>
      </c>
      <c r="B26" s="65" t="inlineStr">
        <is>
          <t>0</t>
        </is>
      </c>
      <c r="C26" s="81">
        <f>COUNTIF(RecentVideos!$C$5:$C$58,"&gt;30")</f>
        <v/>
      </c>
      <c r="D26" s="82">
        <f>IF(C26=0,"PASS","CHECK")</f>
        <v/>
      </c>
    </row>
    <row r="27" ht="15" customHeight="1" s="38">
      <c r="A27" s="65" t="inlineStr">
        <is>
          <t>Nano creators (under 10K subs)</t>
        </is>
      </c>
      <c r="B27" s="65" t="inlineStr">
        <is>
          <t>at least 3</t>
        </is>
      </c>
      <c r="C27" s="81">
        <f>COUNTIF(Creators!$F$5:$F$22,"&lt;10000")</f>
        <v/>
      </c>
      <c r="D27" s="82">
        <f>"review"</f>
        <v/>
      </c>
    </row>
    <row r="28" ht="15" customHeight="1" s="38">
      <c r="A28" s="65" t="inlineStr">
        <is>
          <t>Distinct categories</t>
        </is>
      </c>
      <c r="B28" s="65" t="inlineStr">
        <is>
          <t>at least 8</t>
        </is>
      </c>
      <c r="C28" s="81">
        <f>SUMPRODUCT(1/COUNTIF(Creators!$D$5:$D$22,Creators!$D$5:$D$22))</f>
        <v/>
      </c>
      <c r="D28" s="82">
        <f>"review"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7" min="1" max="1"/>
    <col width="16" customWidth="1" style="37" min="2" max="2"/>
    <col width="66" customWidth="1" style="37" min="3" max="3"/>
    <col width="18" customWidth="1" style="37" min="4" max="4"/>
    <col width="19" customWidth="1" style="37" min="5" max="5"/>
    <col width="26" customWidth="1" style="37" min="6" max="6"/>
    <col width="24" customWidth="1" style="37" min="7" max="7"/>
  </cols>
  <sheetData>
    <row r="1" ht="17.25" customHeight="1" s="38">
      <c r="A1" s="39" t="inlineStr">
        <is>
          <t>Feature benchmarks</t>
        </is>
      </c>
    </row>
    <row r="2" ht="30" customHeight="1" s="38">
      <c r="A2" s="71" t="inlineStr">
        <is>
          <t>A raw number means nothing on its own: 4% engagement is weak for a Nano creator and strong for a Mid-tier one. These tables are what turn a metric into a judgement, and they are what the fit score reads.</t>
        </is>
      </c>
    </row>
    <row r="4" ht="15" customHeight="1" s="38">
      <c r="A4" s="59" t="inlineStr">
        <is>
          <t>1. TIER BENCHMARKS</t>
        </is>
      </c>
    </row>
    <row r="5" ht="30" customHeight="1" s="38">
      <c r="A5" s="41" t="inlineStr">
        <is>
          <t>tier</t>
        </is>
      </c>
      <c r="B5" s="41" t="inlineStr">
        <is>
          <t>sub range</t>
        </is>
      </c>
      <c r="C5" s="41" t="inlineStr">
        <is>
          <t>engagement benchmark</t>
        </is>
      </c>
      <c r="D5" s="41" t="inlineStr">
        <is>
          <t>engagement floor</t>
        </is>
      </c>
      <c r="E5" s="41" t="inlineStr">
        <is>
          <t>view-to-sub floor</t>
        </is>
      </c>
      <c r="F5" s="41" t="inlineStr">
        <is>
          <t>cost per 1k views (typical)</t>
        </is>
      </c>
      <c r="G5" s="41" t="inlineStr">
        <is>
          <t>flag as poor value above</t>
        </is>
      </c>
    </row>
    <row r="6" ht="15" customHeight="1" s="38">
      <c r="A6" s="65" t="inlineStr">
        <is>
          <t>Nano</t>
        </is>
      </c>
      <c r="B6" s="65" t="inlineStr">
        <is>
          <t>under 10K</t>
        </is>
      </c>
      <c r="C6" s="76" t="n">
        <v>0.1</v>
      </c>
      <c r="D6" s="76" t="n">
        <v>0.07000000000000001</v>
      </c>
      <c r="E6" s="77" t="n">
        <v>0.45</v>
      </c>
      <c r="F6" s="78" t="n">
        <v>100</v>
      </c>
      <c r="G6" s="78" t="n">
        <v>130</v>
      </c>
    </row>
    <row r="7" ht="15" customHeight="1" s="38">
      <c r="A7" s="65" t="inlineStr">
        <is>
          <t>Micro</t>
        </is>
      </c>
      <c r="B7" s="65" t="inlineStr">
        <is>
          <t>10K - 100K</t>
        </is>
      </c>
      <c r="C7" s="76" t="n">
        <v>0.07000000000000001</v>
      </c>
      <c r="D7" s="76" t="n">
        <v>0.045</v>
      </c>
      <c r="E7" s="77" t="n">
        <v>0.35</v>
      </c>
      <c r="F7" s="78" t="n">
        <v>78</v>
      </c>
      <c r="G7" s="78" t="n">
        <v>100</v>
      </c>
    </row>
    <row r="8" ht="15" customHeight="1" s="38">
      <c r="A8" s="65" t="inlineStr">
        <is>
          <t>Mid-tier</t>
        </is>
      </c>
      <c r="B8" s="65" t="inlineStr">
        <is>
          <t>100K - 500K</t>
        </is>
      </c>
      <c r="C8" s="76" t="n">
        <v>0.05</v>
      </c>
      <c r="D8" s="76" t="n">
        <v>0.035</v>
      </c>
      <c r="E8" s="77" t="n">
        <v>0.3</v>
      </c>
      <c r="F8" s="78" t="n">
        <v>65</v>
      </c>
      <c r="G8" s="78" t="n">
        <v>85</v>
      </c>
    </row>
    <row r="10" ht="15" customHeight="1" s="38">
      <c r="A10" s="58" t="inlineStr">
        <is>
          <t>Benchmarks are the medians of this roster, set to mirror the real pattern: smaller audiences engage more and cost more per view.</t>
        </is>
      </c>
    </row>
    <row r="12" ht="15" customHeight="1" s="38">
      <c r="A12" s="59" t="inlineStr">
        <is>
          <t>2. CATEGORY AFFINITY - demo campaign vertical: Food &amp; Beverage</t>
        </is>
      </c>
    </row>
    <row r="13" ht="30" customHeight="1" s="38">
      <c r="A13" s="41" t="inlineStr">
        <is>
          <t>category</t>
        </is>
      </c>
      <c r="B13" s="41" t="inlineStr">
        <is>
          <t>affinity (0-100)</t>
        </is>
      </c>
      <c r="C13" s="41" t="inlineStr">
        <is>
          <t>reasoning</t>
        </is>
      </c>
    </row>
    <row r="14" ht="15" customHeight="1" s="38">
      <c r="A14" s="72" t="inlineStr">
        <is>
          <t>Food &amp; Beverage</t>
        </is>
      </c>
      <c r="B14" s="72" t="n">
        <v>100</v>
      </c>
      <c r="C14" s="72" t="inlineStr">
        <is>
          <t>Same vertical.</t>
        </is>
      </c>
    </row>
    <row r="15" ht="15" customHeight="1" s="38">
      <c r="A15" s="72" t="inlineStr">
        <is>
          <t>Cooking</t>
        </is>
      </c>
      <c r="B15" s="72" t="n">
        <v>90</v>
      </c>
      <c r="C15" s="72" t="inlineStr">
        <is>
          <t>Same audience intent, adjacent framing.</t>
        </is>
      </c>
    </row>
    <row r="16" ht="15" customHeight="1" s="38">
      <c r="A16" s="72" t="inlineStr">
        <is>
          <t>Health &amp; Lifestyle</t>
        </is>
      </c>
      <c r="B16" s="72" t="n">
        <v>65</v>
      </c>
      <c r="C16" s="72" t="inlineStr">
        <is>
          <t>Food appears regularly inside lifestyle content.</t>
        </is>
      </c>
    </row>
    <row r="17" ht="15" customHeight="1" s="38">
      <c r="A17" s="72" t="inlineStr">
        <is>
          <t>Parenting &amp; Family</t>
        </is>
      </c>
      <c r="B17" s="72" t="n">
        <v>55</v>
      </c>
      <c r="C17" s="72" t="inlineStr">
        <is>
          <t>Family meals and grocery decisions overlap.</t>
        </is>
      </c>
    </row>
    <row r="18" ht="15" customHeight="1" s="38">
      <c r="A18" s="72" t="inlineStr">
        <is>
          <t>Fitness</t>
        </is>
      </c>
      <c r="B18" s="72" t="n">
        <v>45</v>
      </c>
      <c r="C18" s="72" t="inlineStr">
        <is>
          <t>Nutrition adjacency, but the framing is performance not pleasure.</t>
        </is>
      </c>
    </row>
    <row r="19" ht="15" customHeight="1" s="38">
      <c r="A19" s="72" t="inlineStr">
        <is>
          <t>Beauty &amp; Skincare</t>
        </is>
      </c>
      <c r="B19" s="72" t="n">
        <v>25</v>
      </c>
      <c r="C19" s="72" t="inlineStr">
        <is>
          <t>Shared demographic, unrelated purchase intent.</t>
        </is>
      </c>
    </row>
    <row r="20" ht="15" customHeight="1" s="38">
      <c r="A20" s="72" t="inlineStr">
        <is>
          <t>Fashion &amp; Beauty</t>
        </is>
      </c>
      <c r="B20" s="72" t="n">
        <v>25</v>
      </c>
      <c r="C20" s="72" t="inlineStr">
        <is>
          <t>Shared demographic, unrelated purchase intent.</t>
        </is>
      </c>
    </row>
    <row r="21" ht="15" customHeight="1" s="38">
      <c r="A21" s="72" t="inlineStr">
        <is>
          <t>Outdoor &amp; Gear</t>
        </is>
      </c>
      <c r="B21" s="72" t="n">
        <v>20</v>
      </c>
      <c r="C21" s="72" t="inlineStr">
        <is>
          <t>Occasional camp-food overlap only.</t>
        </is>
      </c>
    </row>
    <row r="22" ht="15" customHeight="1" s="38">
      <c r="A22" s="72" t="inlineStr">
        <is>
          <t>Tech Reviews</t>
        </is>
      </c>
      <c r="B22" s="72" t="n">
        <v>10</v>
      </c>
      <c r="C22" s="72" t="inlineStr">
        <is>
          <t>No meaningful overlap.</t>
        </is>
      </c>
    </row>
    <row r="23" ht="15" customHeight="1" s="38">
      <c r="A23" s="72" t="inlineStr">
        <is>
          <t>Gaming</t>
        </is>
      </c>
      <c r="B23" s="72" t="n">
        <v>10</v>
      </c>
      <c r="C23" s="72" t="inlineStr">
        <is>
          <t>No meaningful overlap.</t>
        </is>
      </c>
    </row>
    <row r="24" ht="15" customHeight="1" s="38">
      <c r="A24" s="72" t="inlineStr">
        <is>
          <t>Personal Finance</t>
        </is>
      </c>
      <c r="B24" s="72" t="n">
        <v>5</v>
      </c>
      <c r="C24" s="72" t="inlineStr">
        <is>
          <t>No overlap, and higher claim risk.</t>
        </is>
      </c>
    </row>
    <row r="26" ht="15" customHeight="1" s="38">
      <c r="A26" s="58" t="inlineStr">
        <is>
          <t>Replace this column when the campaign vertical changes. Everything downstream recalculates.</t>
        </is>
      </c>
    </row>
    <row r="28" ht="15" customHeight="1" s="38">
      <c r="A28" s="59" t="inlineStr">
        <is>
          <t>3. AUDIENCE AGE OVERLAP - demo campaign target: 25-34</t>
        </is>
      </c>
    </row>
    <row r="29" ht="30" customHeight="1" s="38">
      <c r="A29" s="41" t="inlineStr">
        <is>
          <t>creator age band</t>
        </is>
      </c>
      <c r="B29" s="41" t="inlineStr">
        <is>
          <t>overlap points (max 35)</t>
        </is>
      </c>
      <c r="C29" s="41" t="inlineStr">
        <is>
          <t>reasoning</t>
        </is>
      </c>
    </row>
    <row r="30" ht="15" customHeight="1" s="38">
      <c r="A30" s="65" t="inlineStr">
        <is>
          <t>25-34</t>
        </is>
      </c>
      <c r="B30" s="65" t="n">
        <v>35</v>
      </c>
      <c r="C30" s="65" t="inlineStr">
        <is>
          <t>Exact match.</t>
        </is>
      </c>
    </row>
    <row r="31" ht="15" customHeight="1" s="38">
      <c r="A31" s="65" t="inlineStr">
        <is>
          <t>25-44</t>
        </is>
      </c>
      <c r="B31" s="65" t="n">
        <v>28</v>
      </c>
      <c r="C31" s="65" t="inlineStr">
        <is>
          <t>Fully contains the target band, diluted by older viewers.</t>
        </is>
      </c>
    </row>
    <row r="32" ht="15" customHeight="1" s="38">
      <c r="A32" s="65" t="inlineStr">
        <is>
          <t>18-34</t>
        </is>
      </c>
      <c r="B32" s="65" t="n">
        <v>25</v>
      </c>
      <c r="C32" s="65" t="inlineStr">
        <is>
          <t>Contains the target band, diluted by younger viewers.</t>
        </is>
      </c>
    </row>
    <row r="33" ht="15" customHeight="1" s="38">
      <c r="A33" s="65" t="inlineStr">
        <is>
          <t>30-44</t>
        </is>
      </c>
      <c r="B33" s="65" t="n">
        <v>18</v>
      </c>
      <c r="C33" s="65" t="inlineStr">
        <is>
          <t>Partial overlap at the upper edge.</t>
        </is>
      </c>
    </row>
    <row r="34" ht="15" customHeight="1" s="38">
      <c r="A34" s="65" t="inlineStr">
        <is>
          <t>18-24</t>
        </is>
      </c>
      <c r="B34" s="65" t="n">
        <v>5</v>
      </c>
      <c r="C34" s="65" t="inlineStr">
        <is>
          <t>Almost no overlap.</t>
        </is>
      </c>
    </row>
    <row r="36" ht="15" customHeight="1" s="38">
      <c r="A36" s="59" t="inlineStr">
        <is>
          <t>4. FIT SCORE WEIGHTS</t>
        </is>
      </c>
    </row>
    <row r="37" ht="30" customHeight="1" s="38">
      <c r="A37" s="41" t="inlineStr">
        <is>
          <t>feature</t>
        </is>
      </c>
      <c r="B37" s="41" t="inlineStr">
        <is>
          <t>weight</t>
        </is>
      </c>
      <c r="C37" s="41" t="inlineStr">
        <is>
          <t>what it answers</t>
        </is>
      </c>
    </row>
    <row r="38" ht="15" customHeight="1" s="38">
      <c r="A38" s="72" t="inlineStr">
        <is>
          <t>Category affinity</t>
        </is>
      </c>
      <c r="B38" s="79" t="n">
        <v>0.25</v>
      </c>
      <c r="C38" s="72" t="inlineStr">
        <is>
          <t>Does this creator's subject matter carry the product at all?</t>
        </is>
      </c>
    </row>
    <row r="39" ht="23.25" customHeight="1" s="38">
      <c r="A39" s="72" t="inlineStr">
        <is>
          <t>Engagement vs tier benchmark</t>
        </is>
      </c>
      <c r="B39" s="79" t="n">
        <v>0.2</v>
      </c>
      <c r="C39" s="72" t="inlineStr">
        <is>
          <t>Does the audience actually respond, judged against creators of the same size?</t>
        </is>
      </c>
    </row>
    <row r="40" ht="15" customHeight="1" s="38">
      <c r="A40" s="72" t="inlineStr">
        <is>
          <t>Audience fit</t>
        </is>
      </c>
      <c r="B40" s="79" t="n">
        <v>0.2</v>
      </c>
      <c r="C40" s="72" t="inlineStr">
        <is>
          <t>Are these the right viewers by age and geography?</t>
        </is>
      </c>
    </row>
    <row r="41" ht="15" customHeight="1" s="38">
      <c r="A41" s="72" t="inlineStr">
        <is>
          <t>Value vs tier benchmark</t>
        </is>
      </c>
      <c r="B41" s="79" t="n">
        <v>0.15</v>
      </c>
      <c r="C41" s="72" t="inlineStr">
        <is>
          <t>Is the price fair for the reach delivered?</t>
        </is>
      </c>
    </row>
    <row r="42" ht="15" customHeight="1" s="38">
      <c r="A42" s="72" t="inlineStr">
        <is>
          <t>Brand safety</t>
        </is>
      </c>
      <c r="B42" s="79" t="n">
        <v>0.15</v>
      </c>
      <c r="C42" s="72" t="inlineStr">
        <is>
          <t>What is the reputational exposure?</t>
        </is>
      </c>
    </row>
    <row r="43" ht="15" customHeight="1" s="38">
      <c r="A43" s="72" t="inlineStr">
        <is>
          <t>Sponsor saturation</t>
        </is>
      </c>
      <c r="B43" s="79" t="n">
        <v>0.05</v>
      </c>
      <c r="C43" s="72" t="inlineStr">
        <is>
          <t>How ad-fatigued is this audience already?</t>
        </is>
      </c>
    </row>
    <row r="44" ht="15" customHeight="1" s="38">
      <c r="A44" s="60" t="inlineStr">
        <is>
          <t>Total</t>
        </is>
      </c>
      <c r="B44" s="80">
        <f>SUM(B38:B43)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37" min="1" max="1"/>
    <col width="20" customWidth="1" style="37" min="2" max="2"/>
    <col width="11" customWidth="1" style="37" min="3" max="3"/>
    <col width="17" customWidth="1" style="37" min="4" max="4"/>
    <col width="13" customWidth="1" style="37" min="5" max="5"/>
    <col width="12" customWidth="1" style="37" min="6" max="6"/>
    <col width="10" customWidth="1" style="37" min="7" max="8"/>
    <col width="13" customWidth="1" style="37" min="9" max="10"/>
    <col width="8" customWidth="1" style="37" min="11" max="11"/>
    <col width="14" customWidth="1" style="37" min="12" max="12"/>
  </cols>
  <sheetData>
    <row r="1" ht="17.25" customHeight="1" s="38">
      <c r="A1" s="39" t="inlineStr">
        <is>
          <t>Campaign fit score - worked example</t>
        </is>
      </c>
    </row>
    <row r="2" ht="30" customHeight="1" s="38">
      <c r="A2" s="71" t="inlineStr">
        <is>
          <t>Every sub-score recalculates from the Creators tab and the benchmark tables. Change a weight or a campaign parameter and the ranking moves - which is what makes this a scoring model rather than a list of opinions.</t>
        </is>
      </c>
    </row>
    <row r="4" ht="15" customHeight="1" s="38">
      <c r="A4" s="59" t="inlineStr">
        <is>
          <t>CAMPAIGN PARAMETERS</t>
        </is>
      </c>
    </row>
    <row r="5" ht="15" customHeight="1" s="38">
      <c r="A5" s="60" t="inlineStr">
        <is>
          <t>Vertical</t>
        </is>
      </c>
      <c r="B5" s="50" t="inlineStr">
        <is>
          <t>Food &amp; Beverage</t>
        </is>
      </c>
    </row>
    <row r="6" ht="15" customHeight="1" s="38">
      <c r="A6" s="60" t="inlineStr">
        <is>
          <t>Target age band</t>
        </is>
      </c>
      <c r="B6" s="50" t="inlineStr">
        <is>
          <t>25-34</t>
        </is>
      </c>
    </row>
    <row r="7" ht="15" customHeight="1" s="38">
      <c r="A7" s="60" t="inlineStr">
        <is>
          <t>Target country</t>
        </is>
      </c>
      <c r="B7" s="50" t="inlineStr">
        <is>
          <t>US</t>
        </is>
      </c>
    </row>
    <row r="8" ht="15" customHeight="1" s="38">
      <c r="A8" s="60" t="inlineStr">
        <is>
          <t>Budget - dedicated video</t>
        </is>
      </c>
      <c r="B8" s="54" t="n">
        <v>5000</v>
      </c>
    </row>
    <row r="9" ht="15" customHeight="1" s="38">
      <c r="A9" s="60" t="inlineStr">
        <is>
          <t>Minimum safety score</t>
        </is>
      </c>
      <c r="B9" s="50" t="n">
        <v>80</v>
      </c>
    </row>
    <row r="11" ht="15" customHeight="1" s="38">
      <c r="A11" s="58" t="inlineStr">
        <is>
          <t>Sub-scores are 0-100. Reaching the tier benchmark scores 70, so exceeding it is rewarded and falling short is penalised, without letting one feature dominate.</t>
        </is>
      </c>
    </row>
    <row r="13" ht="30" customHeight="1" s="38">
      <c r="A13" s="41" t="inlineStr">
        <is>
          <t>creator</t>
        </is>
      </c>
      <c r="B13" s="41" t="inlineStr">
        <is>
          <t>category</t>
        </is>
      </c>
      <c r="C13" s="41" t="inlineStr">
        <is>
          <t>tier</t>
        </is>
      </c>
      <c r="D13" s="41" t="inlineStr">
        <is>
          <t>category affinity</t>
        </is>
      </c>
      <c r="E13" s="41" t="inlineStr">
        <is>
          <t>engagement</t>
        </is>
      </c>
      <c r="F13" s="41" t="inlineStr">
        <is>
          <t>audience</t>
        </is>
      </c>
      <c r="G13" s="41" t="inlineStr">
        <is>
          <t>value</t>
        </is>
      </c>
      <c r="H13" s="41" t="inlineStr">
        <is>
          <t>safety</t>
        </is>
      </c>
      <c r="I13" s="41" t="inlineStr">
        <is>
          <t>saturation</t>
        </is>
      </c>
      <c r="J13" s="41" t="inlineStr">
        <is>
          <t>FIT SCORE</t>
        </is>
      </c>
      <c r="K13" s="41" t="inlineStr">
        <is>
          <t>rank</t>
        </is>
      </c>
      <c r="L13" s="41" t="inlineStr">
        <is>
          <t>within budget</t>
        </is>
      </c>
    </row>
    <row r="14" ht="15" customHeight="1" s="38">
      <c r="A14" s="65">
        <f>Creators!B5</f>
        <v/>
      </c>
      <c r="B14" s="65">
        <f>Creators!D5</f>
        <v/>
      </c>
      <c r="C14" s="65">
        <f>Creators!E5</f>
        <v/>
      </c>
      <c r="D14" s="81">
        <f>INDEX('Feature benchmarks'!$B$14:$B$24,MATCH(B14,'Feature benchmarks'!$A$14:$A$24,0))</f>
        <v/>
      </c>
      <c r="E14" s="81">
        <f>MIN(100,ROUND(Creators!H5/INDEX('Feature benchmarks'!$C$6:$C$8,MATCH(C14,'Feature benchmarks'!$A$6:$A$8,0))*70,0))</f>
        <v/>
      </c>
      <c r="F14" s="81">
        <f>40+INDEX('Feature benchmarks'!$B$30:$B$34,MATCH(Creators!L5,'Feature benchmarks'!$A$30:$A$34,0))+IF(Creators!N5=$B$7,25,10)</f>
        <v/>
      </c>
      <c r="G14" s="81">
        <f>MIN(100,ROUND(INDEX('Feature benchmarks'!$F$6:$F$8,MATCH(C14,'Feature benchmarks'!$A$6:$A$8,0))/Creators!T5*70,0))</f>
        <v/>
      </c>
      <c r="H14" s="81">
        <f>Creators!K5</f>
        <v/>
      </c>
      <c r="I14" s="81">
        <f>ROUND(100-COUNTIFS(RecentVideos!$A$5:$A$58,Creators!A5,RecentVideos!$H$5:$H$58,"TRUE")/COUNTIF(RecentVideos!$A$5:$A$58,Creators!A5)*100,0)</f>
        <v/>
      </c>
      <c r="J14" s="82">
        <f>ROUND(D14*'Feature benchmarks'!$B$38+E14*'Feature benchmarks'!$B$39+F14*'Feature benchmarks'!$B$40+G14*'Feature benchmarks'!$B$41+H14*'Feature benchmarks'!$B$42+I14*'Feature benchmarks'!$B$43,1)</f>
        <v/>
      </c>
      <c r="K14" s="81">
        <f>RANK(J14,$J$14:$J$31,0)</f>
        <v/>
      </c>
      <c r="L14" s="81">
        <f>IF(Creators!R5&lt;=$B$8,"Yes","Over budget")</f>
        <v/>
      </c>
    </row>
    <row r="15" ht="15" customHeight="1" s="38">
      <c r="A15" s="65">
        <f>Creators!B6</f>
        <v/>
      </c>
      <c r="B15" s="65">
        <f>Creators!D6</f>
        <v/>
      </c>
      <c r="C15" s="65">
        <f>Creators!E6</f>
        <v/>
      </c>
      <c r="D15" s="81">
        <f>INDEX('Feature benchmarks'!$B$14:$B$24,MATCH(B15,'Feature benchmarks'!$A$14:$A$24,0))</f>
        <v/>
      </c>
      <c r="E15" s="81">
        <f>MIN(100,ROUND(Creators!H6/INDEX('Feature benchmarks'!$C$6:$C$8,MATCH(C15,'Feature benchmarks'!$A$6:$A$8,0))*70,0))</f>
        <v/>
      </c>
      <c r="F15" s="81">
        <f>40+INDEX('Feature benchmarks'!$B$30:$B$34,MATCH(Creators!L6,'Feature benchmarks'!$A$30:$A$34,0))+IF(Creators!N6=$B$7,25,10)</f>
        <v/>
      </c>
      <c r="G15" s="81">
        <f>MIN(100,ROUND(INDEX('Feature benchmarks'!$F$6:$F$8,MATCH(C15,'Feature benchmarks'!$A$6:$A$8,0))/Creators!T6*70,0))</f>
        <v/>
      </c>
      <c r="H15" s="81">
        <f>Creators!K6</f>
        <v/>
      </c>
      <c r="I15" s="81">
        <f>ROUND(100-COUNTIFS(RecentVideos!$A$5:$A$58,Creators!A6,RecentVideos!$H$5:$H$58,"TRUE")/COUNTIF(RecentVideos!$A$5:$A$58,Creators!A6)*100,0)</f>
        <v/>
      </c>
      <c r="J15" s="82">
        <f>ROUND(D15*'Feature benchmarks'!$B$38+E15*'Feature benchmarks'!$B$39+F15*'Feature benchmarks'!$B$40+G15*'Feature benchmarks'!$B$41+H15*'Feature benchmarks'!$B$42+I15*'Feature benchmarks'!$B$43,1)</f>
        <v/>
      </c>
      <c r="K15" s="81">
        <f>RANK(J15,$J$14:$J$31,0)</f>
        <v/>
      </c>
      <c r="L15" s="81">
        <f>IF(Creators!R6&lt;=$B$8,"Yes","Over budget")</f>
        <v/>
      </c>
    </row>
    <row r="16" ht="15" customHeight="1" s="38">
      <c r="A16" s="65">
        <f>Creators!B7</f>
        <v/>
      </c>
      <c r="B16" s="65">
        <f>Creators!D7</f>
        <v/>
      </c>
      <c r="C16" s="65">
        <f>Creators!E7</f>
        <v/>
      </c>
      <c r="D16" s="81">
        <f>INDEX('Feature benchmarks'!$B$14:$B$24,MATCH(B16,'Feature benchmarks'!$A$14:$A$24,0))</f>
        <v/>
      </c>
      <c r="E16" s="81">
        <f>MIN(100,ROUND(Creators!H7/INDEX('Feature benchmarks'!$C$6:$C$8,MATCH(C16,'Feature benchmarks'!$A$6:$A$8,0))*70,0))</f>
        <v/>
      </c>
      <c r="F16" s="81">
        <f>40+INDEX('Feature benchmarks'!$B$30:$B$34,MATCH(Creators!L7,'Feature benchmarks'!$A$30:$A$34,0))+IF(Creators!N7=$B$7,25,10)</f>
        <v/>
      </c>
      <c r="G16" s="81">
        <f>MIN(100,ROUND(INDEX('Feature benchmarks'!$F$6:$F$8,MATCH(C16,'Feature benchmarks'!$A$6:$A$8,0))/Creators!T7*70,0))</f>
        <v/>
      </c>
      <c r="H16" s="81">
        <f>Creators!K7</f>
        <v/>
      </c>
      <c r="I16" s="81">
        <f>ROUND(100-COUNTIFS(RecentVideos!$A$5:$A$58,Creators!A7,RecentVideos!$H$5:$H$58,"TRUE")/COUNTIF(RecentVideos!$A$5:$A$58,Creators!A7)*100,0)</f>
        <v/>
      </c>
      <c r="J16" s="82">
        <f>ROUND(D16*'Feature benchmarks'!$B$38+E16*'Feature benchmarks'!$B$39+F16*'Feature benchmarks'!$B$40+G16*'Feature benchmarks'!$B$41+H16*'Feature benchmarks'!$B$42+I16*'Feature benchmarks'!$B$43,1)</f>
        <v/>
      </c>
      <c r="K16" s="81">
        <f>RANK(J16,$J$14:$J$31,0)</f>
        <v/>
      </c>
      <c r="L16" s="81">
        <f>IF(Creators!R7&lt;=$B$8,"Yes","Over budget")</f>
        <v/>
      </c>
    </row>
    <row r="17" ht="15" customHeight="1" s="38">
      <c r="A17" s="65">
        <f>Creators!B8</f>
        <v/>
      </c>
      <c r="B17" s="65">
        <f>Creators!D8</f>
        <v/>
      </c>
      <c r="C17" s="65">
        <f>Creators!E8</f>
        <v/>
      </c>
      <c r="D17" s="81">
        <f>INDEX('Feature benchmarks'!$B$14:$B$24,MATCH(B17,'Feature benchmarks'!$A$14:$A$24,0))</f>
        <v/>
      </c>
      <c r="E17" s="81">
        <f>MIN(100,ROUND(Creators!H8/INDEX('Feature benchmarks'!$C$6:$C$8,MATCH(C17,'Feature benchmarks'!$A$6:$A$8,0))*70,0))</f>
        <v/>
      </c>
      <c r="F17" s="81">
        <f>40+INDEX('Feature benchmarks'!$B$30:$B$34,MATCH(Creators!L8,'Feature benchmarks'!$A$30:$A$34,0))+IF(Creators!N8=$B$7,25,10)</f>
        <v/>
      </c>
      <c r="G17" s="81">
        <f>MIN(100,ROUND(INDEX('Feature benchmarks'!$F$6:$F$8,MATCH(C17,'Feature benchmarks'!$A$6:$A$8,0))/Creators!T8*70,0))</f>
        <v/>
      </c>
      <c r="H17" s="81">
        <f>Creators!K8</f>
        <v/>
      </c>
      <c r="I17" s="81">
        <f>ROUND(100-COUNTIFS(RecentVideos!$A$5:$A$58,Creators!A8,RecentVideos!$H$5:$H$58,"TRUE")/COUNTIF(RecentVideos!$A$5:$A$58,Creators!A8)*100,0)</f>
        <v/>
      </c>
      <c r="J17" s="82">
        <f>ROUND(D17*'Feature benchmarks'!$B$38+E17*'Feature benchmarks'!$B$39+F17*'Feature benchmarks'!$B$40+G17*'Feature benchmarks'!$B$41+H17*'Feature benchmarks'!$B$42+I17*'Feature benchmarks'!$B$43,1)</f>
        <v/>
      </c>
      <c r="K17" s="81">
        <f>RANK(J17,$J$14:$J$31,0)</f>
        <v/>
      </c>
      <c r="L17" s="81">
        <f>IF(Creators!R8&lt;=$B$8,"Yes","Over budget")</f>
        <v/>
      </c>
    </row>
    <row r="18" ht="15" customHeight="1" s="38">
      <c r="A18" s="65">
        <f>Creators!B9</f>
        <v/>
      </c>
      <c r="B18" s="65">
        <f>Creators!D9</f>
        <v/>
      </c>
      <c r="C18" s="65">
        <f>Creators!E9</f>
        <v/>
      </c>
      <c r="D18" s="81">
        <f>INDEX('Feature benchmarks'!$B$14:$B$24,MATCH(B18,'Feature benchmarks'!$A$14:$A$24,0))</f>
        <v/>
      </c>
      <c r="E18" s="81">
        <f>MIN(100,ROUND(Creators!H9/INDEX('Feature benchmarks'!$C$6:$C$8,MATCH(C18,'Feature benchmarks'!$A$6:$A$8,0))*70,0))</f>
        <v/>
      </c>
      <c r="F18" s="81">
        <f>40+INDEX('Feature benchmarks'!$B$30:$B$34,MATCH(Creators!L9,'Feature benchmarks'!$A$30:$A$34,0))+IF(Creators!N9=$B$7,25,10)</f>
        <v/>
      </c>
      <c r="G18" s="81">
        <f>MIN(100,ROUND(INDEX('Feature benchmarks'!$F$6:$F$8,MATCH(C18,'Feature benchmarks'!$A$6:$A$8,0))/Creators!T9*70,0))</f>
        <v/>
      </c>
      <c r="H18" s="81">
        <f>Creators!K9</f>
        <v/>
      </c>
      <c r="I18" s="81">
        <f>ROUND(100-COUNTIFS(RecentVideos!$A$5:$A$58,Creators!A9,RecentVideos!$H$5:$H$58,"TRUE")/COUNTIF(RecentVideos!$A$5:$A$58,Creators!A9)*100,0)</f>
        <v/>
      </c>
      <c r="J18" s="82">
        <f>ROUND(D18*'Feature benchmarks'!$B$38+E18*'Feature benchmarks'!$B$39+F18*'Feature benchmarks'!$B$40+G18*'Feature benchmarks'!$B$41+H18*'Feature benchmarks'!$B$42+I18*'Feature benchmarks'!$B$43,1)</f>
        <v/>
      </c>
      <c r="K18" s="81">
        <f>RANK(J18,$J$14:$J$31,0)</f>
        <v/>
      </c>
      <c r="L18" s="81">
        <f>IF(Creators!R9&lt;=$B$8,"Yes","Over budget")</f>
        <v/>
      </c>
    </row>
    <row r="19" ht="15" customHeight="1" s="38">
      <c r="A19" s="65">
        <f>Creators!B10</f>
        <v/>
      </c>
      <c r="B19" s="65">
        <f>Creators!D10</f>
        <v/>
      </c>
      <c r="C19" s="65">
        <f>Creators!E10</f>
        <v/>
      </c>
      <c r="D19" s="81">
        <f>INDEX('Feature benchmarks'!$B$14:$B$24,MATCH(B19,'Feature benchmarks'!$A$14:$A$24,0))</f>
        <v/>
      </c>
      <c r="E19" s="81">
        <f>MIN(100,ROUND(Creators!H10/INDEX('Feature benchmarks'!$C$6:$C$8,MATCH(C19,'Feature benchmarks'!$A$6:$A$8,0))*70,0))</f>
        <v/>
      </c>
      <c r="F19" s="81">
        <f>40+INDEX('Feature benchmarks'!$B$30:$B$34,MATCH(Creators!L10,'Feature benchmarks'!$A$30:$A$34,0))+IF(Creators!N10=$B$7,25,10)</f>
        <v/>
      </c>
      <c r="G19" s="81">
        <f>MIN(100,ROUND(INDEX('Feature benchmarks'!$F$6:$F$8,MATCH(C19,'Feature benchmarks'!$A$6:$A$8,0))/Creators!T10*70,0))</f>
        <v/>
      </c>
      <c r="H19" s="81">
        <f>Creators!K10</f>
        <v/>
      </c>
      <c r="I19" s="81">
        <f>ROUND(100-COUNTIFS(RecentVideos!$A$5:$A$58,Creators!A10,RecentVideos!$H$5:$H$58,"TRUE")/COUNTIF(RecentVideos!$A$5:$A$58,Creators!A10)*100,0)</f>
        <v/>
      </c>
      <c r="J19" s="82">
        <f>ROUND(D19*'Feature benchmarks'!$B$38+E19*'Feature benchmarks'!$B$39+F19*'Feature benchmarks'!$B$40+G19*'Feature benchmarks'!$B$41+H19*'Feature benchmarks'!$B$42+I19*'Feature benchmarks'!$B$43,1)</f>
        <v/>
      </c>
      <c r="K19" s="81">
        <f>RANK(J19,$J$14:$J$31,0)</f>
        <v/>
      </c>
      <c r="L19" s="81">
        <f>IF(Creators!R10&lt;=$B$8,"Yes","Over budget")</f>
        <v/>
      </c>
    </row>
    <row r="20" ht="15" customHeight="1" s="38">
      <c r="A20" s="65">
        <f>Creators!B11</f>
        <v/>
      </c>
      <c r="B20" s="65">
        <f>Creators!D11</f>
        <v/>
      </c>
      <c r="C20" s="65">
        <f>Creators!E11</f>
        <v/>
      </c>
      <c r="D20" s="81">
        <f>INDEX('Feature benchmarks'!$B$14:$B$24,MATCH(B20,'Feature benchmarks'!$A$14:$A$24,0))</f>
        <v/>
      </c>
      <c r="E20" s="81">
        <f>MIN(100,ROUND(Creators!H11/INDEX('Feature benchmarks'!$C$6:$C$8,MATCH(C20,'Feature benchmarks'!$A$6:$A$8,0))*70,0))</f>
        <v/>
      </c>
      <c r="F20" s="81">
        <f>40+INDEX('Feature benchmarks'!$B$30:$B$34,MATCH(Creators!L11,'Feature benchmarks'!$A$30:$A$34,0))+IF(Creators!N11=$B$7,25,10)</f>
        <v/>
      </c>
      <c r="G20" s="81">
        <f>MIN(100,ROUND(INDEX('Feature benchmarks'!$F$6:$F$8,MATCH(C20,'Feature benchmarks'!$A$6:$A$8,0))/Creators!T11*70,0))</f>
        <v/>
      </c>
      <c r="H20" s="81">
        <f>Creators!K11</f>
        <v/>
      </c>
      <c r="I20" s="81">
        <f>ROUND(100-COUNTIFS(RecentVideos!$A$5:$A$58,Creators!A11,RecentVideos!$H$5:$H$58,"TRUE")/COUNTIF(RecentVideos!$A$5:$A$58,Creators!A11)*100,0)</f>
        <v/>
      </c>
      <c r="J20" s="82">
        <f>ROUND(D20*'Feature benchmarks'!$B$38+E20*'Feature benchmarks'!$B$39+F20*'Feature benchmarks'!$B$40+G20*'Feature benchmarks'!$B$41+H20*'Feature benchmarks'!$B$42+I20*'Feature benchmarks'!$B$43,1)</f>
        <v/>
      </c>
      <c r="K20" s="81">
        <f>RANK(J20,$J$14:$J$31,0)</f>
        <v/>
      </c>
      <c r="L20" s="81">
        <f>IF(Creators!R11&lt;=$B$8,"Yes","Over budget")</f>
        <v/>
      </c>
    </row>
    <row r="21" ht="15" customHeight="1" s="38">
      <c r="A21" s="65">
        <f>Creators!B12</f>
        <v/>
      </c>
      <c r="B21" s="65">
        <f>Creators!D12</f>
        <v/>
      </c>
      <c r="C21" s="65">
        <f>Creators!E12</f>
        <v/>
      </c>
      <c r="D21" s="81">
        <f>INDEX('Feature benchmarks'!$B$14:$B$24,MATCH(B21,'Feature benchmarks'!$A$14:$A$24,0))</f>
        <v/>
      </c>
      <c r="E21" s="81">
        <f>MIN(100,ROUND(Creators!H12/INDEX('Feature benchmarks'!$C$6:$C$8,MATCH(C21,'Feature benchmarks'!$A$6:$A$8,0))*70,0))</f>
        <v/>
      </c>
      <c r="F21" s="81">
        <f>40+INDEX('Feature benchmarks'!$B$30:$B$34,MATCH(Creators!L12,'Feature benchmarks'!$A$30:$A$34,0))+IF(Creators!N12=$B$7,25,10)</f>
        <v/>
      </c>
      <c r="G21" s="81">
        <f>MIN(100,ROUND(INDEX('Feature benchmarks'!$F$6:$F$8,MATCH(C21,'Feature benchmarks'!$A$6:$A$8,0))/Creators!T12*70,0))</f>
        <v/>
      </c>
      <c r="H21" s="81">
        <f>Creators!K12</f>
        <v/>
      </c>
      <c r="I21" s="81">
        <f>ROUND(100-COUNTIFS(RecentVideos!$A$5:$A$58,Creators!A12,RecentVideos!$H$5:$H$58,"TRUE")/COUNTIF(RecentVideos!$A$5:$A$58,Creators!A12)*100,0)</f>
        <v/>
      </c>
      <c r="J21" s="82">
        <f>ROUND(D21*'Feature benchmarks'!$B$38+E21*'Feature benchmarks'!$B$39+F21*'Feature benchmarks'!$B$40+G21*'Feature benchmarks'!$B$41+H21*'Feature benchmarks'!$B$42+I21*'Feature benchmarks'!$B$43,1)</f>
        <v/>
      </c>
      <c r="K21" s="81">
        <f>RANK(J21,$J$14:$J$31,0)</f>
        <v/>
      </c>
      <c r="L21" s="81">
        <f>IF(Creators!R12&lt;=$B$8,"Yes","Over budget")</f>
        <v/>
      </c>
    </row>
    <row r="22" ht="15" customHeight="1" s="38">
      <c r="A22" s="65">
        <f>Creators!B13</f>
        <v/>
      </c>
      <c r="B22" s="65">
        <f>Creators!D13</f>
        <v/>
      </c>
      <c r="C22" s="65">
        <f>Creators!E13</f>
        <v/>
      </c>
      <c r="D22" s="81">
        <f>INDEX('Feature benchmarks'!$B$14:$B$24,MATCH(B22,'Feature benchmarks'!$A$14:$A$24,0))</f>
        <v/>
      </c>
      <c r="E22" s="81">
        <f>MIN(100,ROUND(Creators!H13/INDEX('Feature benchmarks'!$C$6:$C$8,MATCH(C22,'Feature benchmarks'!$A$6:$A$8,0))*70,0))</f>
        <v/>
      </c>
      <c r="F22" s="81">
        <f>40+INDEX('Feature benchmarks'!$B$30:$B$34,MATCH(Creators!L13,'Feature benchmarks'!$A$30:$A$34,0))+IF(Creators!N13=$B$7,25,10)</f>
        <v/>
      </c>
      <c r="G22" s="81">
        <f>MIN(100,ROUND(INDEX('Feature benchmarks'!$F$6:$F$8,MATCH(C22,'Feature benchmarks'!$A$6:$A$8,0))/Creators!T13*70,0))</f>
        <v/>
      </c>
      <c r="H22" s="81">
        <f>Creators!K13</f>
        <v/>
      </c>
      <c r="I22" s="81">
        <f>ROUND(100-COUNTIFS(RecentVideos!$A$5:$A$58,Creators!A13,RecentVideos!$H$5:$H$58,"TRUE")/COUNTIF(RecentVideos!$A$5:$A$58,Creators!A13)*100,0)</f>
        <v/>
      </c>
      <c r="J22" s="82">
        <f>ROUND(D22*'Feature benchmarks'!$B$38+E22*'Feature benchmarks'!$B$39+F22*'Feature benchmarks'!$B$40+G22*'Feature benchmarks'!$B$41+H22*'Feature benchmarks'!$B$42+I22*'Feature benchmarks'!$B$43,1)</f>
        <v/>
      </c>
      <c r="K22" s="81">
        <f>RANK(J22,$J$14:$J$31,0)</f>
        <v/>
      </c>
      <c r="L22" s="81">
        <f>IF(Creators!R13&lt;=$B$8,"Yes","Over budget")</f>
        <v/>
      </c>
    </row>
    <row r="23" ht="15" customHeight="1" s="38">
      <c r="A23" s="65">
        <f>Creators!B14</f>
        <v/>
      </c>
      <c r="B23" s="65">
        <f>Creators!D14</f>
        <v/>
      </c>
      <c r="C23" s="65">
        <f>Creators!E14</f>
        <v/>
      </c>
      <c r="D23" s="81">
        <f>INDEX('Feature benchmarks'!$B$14:$B$24,MATCH(B23,'Feature benchmarks'!$A$14:$A$24,0))</f>
        <v/>
      </c>
      <c r="E23" s="81">
        <f>MIN(100,ROUND(Creators!H14/INDEX('Feature benchmarks'!$C$6:$C$8,MATCH(C23,'Feature benchmarks'!$A$6:$A$8,0))*70,0))</f>
        <v/>
      </c>
      <c r="F23" s="81">
        <f>40+INDEX('Feature benchmarks'!$B$30:$B$34,MATCH(Creators!L14,'Feature benchmarks'!$A$30:$A$34,0))+IF(Creators!N14=$B$7,25,10)</f>
        <v/>
      </c>
      <c r="G23" s="81">
        <f>MIN(100,ROUND(INDEX('Feature benchmarks'!$F$6:$F$8,MATCH(C23,'Feature benchmarks'!$A$6:$A$8,0))/Creators!T14*70,0))</f>
        <v/>
      </c>
      <c r="H23" s="81">
        <f>Creators!K14</f>
        <v/>
      </c>
      <c r="I23" s="81">
        <f>ROUND(100-COUNTIFS(RecentVideos!$A$5:$A$58,Creators!A14,RecentVideos!$H$5:$H$58,"TRUE")/COUNTIF(RecentVideos!$A$5:$A$58,Creators!A14)*100,0)</f>
        <v/>
      </c>
      <c r="J23" s="82">
        <f>ROUND(D23*'Feature benchmarks'!$B$38+E23*'Feature benchmarks'!$B$39+F23*'Feature benchmarks'!$B$40+G23*'Feature benchmarks'!$B$41+H23*'Feature benchmarks'!$B$42+I23*'Feature benchmarks'!$B$43,1)</f>
        <v/>
      </c>
      <c r="K23" s="81">
        <f>RANK(J23,$J$14:$J$31,0)</f>
        <v/>
      </c>
      <c r="L23" s="81">
        <f>IF(Creators!R14&lt;=$B$8,"Yes","Over budget")</f>
        <v/>
      </c>
    </row>
    <row r="24" ht="15" customHeight="1" s="38">
      <c r="A24" s="65">
        <f>Creators!B15</f>
        <v/>
      </c>
      <c r="B24" s="65">
        <f>Creators!D15</f>
        <v/>
      </c>
      <c r="C24" s="65">
        <f>Creators!E15</f>
        <v/>
      </c>
      <c r="D24" s="81">
        <f>INDEX('Feature benchmarks'!$B$14:$B$24,MATCH(B24,'Feature benchmarks'!$A$14:$A$24,0))</f>
        <v/>
      </c>
      <c r="E24" s="81">
        <f>MIN(100,ROUND(Creators!H15/INDEX('Feature benchmarks'!$C$6:$C$8,MATCH(C24,'Feature benchmarks'!$A$6:$A$8,0))*70,0))</f>
        <v/>
      </c>
      <c r="F24" s="81">
        <f>40+INDEX('Feature benchmarks'!$B$30:$B$34,MATCH(Creators!L15,'Feature benchmarks'!$A$30:$A$34,0))+IF(Creators!N15=$B$7,25,10)</f>
        <v/>
      </c>
      <c r="G24" s="81">
        <f>MIN(100,ROUND(INDEX('Feature benchmarks'!$F$6:$F$8,MATCH(C24,'Feature benchmarks'!$A$6:$A$8,0))/Creators!T15*70,0))</f>
        <v/>
      </c>
      <c r="H24" s="81">
        <f>Creators!K15</f>
        <v/>
      </c>
      <c r="I24" s="81">
        <f>ROUND(100-COUNTIFS(RecentVideos!$A$5:$A$58,Creators!A15,RecentVideos!$H$5:$H$58,"TRUE")/COUNTIF(RecentVideos!$A$5:$A$58,Creators!A15)*100,0)</f>
        <v/>
      </c>
      <c r="J24" s="82">
        <f>ROUND(D24*'Feature benchmarks'!$B$38+E24*'Feature benchmarks'!$B$39+F24*'Feature benchmarks'!$B$40+G24*'Feature benchmarks'!$B$41+H24*'Feature benchmarks'!$B$42+I24*'Feature benchmarks'!$B$43,1)</f>
        <v/>
      </c>
      <c r="K24" s="81">
        <f>RANK(J24,$J$14:$J$31,0)</f>
        <v/>
      </c>
      <c r="L24" s="81">
        <f>IF(Creators!R15&lt;=$B$8,"Yes","Over budget")</f>
        <v/>
      </c>
    </row>
    <row r="25" ht="15" customHeight="1" s="38">
      <c r="A25" s="65">
        <f>Creators!B16</f>
        <v/>
      </c>
      <c r="B25" s="65">
        <f>Creators!D16</f>
        <v/>
      </c>
      <c r="C25" s="65">
        <f>Creators!E16</f>
        <v/>
      </c>
      <c r="D25" s="81">
        <f>INDEX('Feature benchmarks'!$B$14:$B$24,MATCH(B25,'Feature benchmarks'!$A$14:$A$24,0))</f>
        <v/>
      </c>
      <c r="E25" s="81">
        <f>MIN(100,ROUND(Creators!H16/INDEX('Feature benchmarks'!$C$6:$C$8,MATCH(C25,'Feature benchmarks'!$A$6:$A$8,0))*70,0))</f>
        <v/>
      </c>
      <c r="F25" s="81">
        <f>40+INDEX('Feature benchmarks'!$B$30:$B$34,MATCH(Creators!L16,'Feature benchmarks'!$A$30:$A$34,0))+IF(Creators!N16=$B$7,25,10)</f>
        <v/>
      </c>
      <c r="G25" s="81">
        <f>MIN(100,ROUND(INDEX('Feature benchmarks'!$F$6:$F$8,MATCH(C25,'Feature benchmarks'!$A$6:$A$8,0))/Creators!T16*70,0))</f>
        <v/>
      </c>
      <c r="H25" s="81">
        <f>Creators!K16</f>
        <v/>
      </c>
      <c r="I25" s="81">
        <f>ROUND(100-COUNTIFS(RecentVideos!$A$5:$A$58,Creators!A16,RecentVideos!$H$5:$H$58,"TRUE")/COUNTIF(RecentVideos!$A$5:$A$58,Creators!A16)*100,0)</f>
        <v/>
      </c>
      <c r="J25" s="82">
        <f>ROUND(D25*'Feature benchmarks'!$B$38+E25*'Feature benchmarks'!$B$39+F25*'Feature benchmarks'!$B$40+G25*'Feature benchmarks'!$B$41+H25*'Feature benchmarks'!$B$42+I25*'Feature benchmarks'!$B$43,1)</f>
        <v/>
      </c>
      <c r="K25" s="81">
        <f>RANK(J25,$J$14:$J$31,0)</f>
        <v/>
      </c>
      <c r="L25" s="81">
        <f>IF(Creators!R16&lt;=$B$8,"Yes","Over budget")</f>
        <v/>
      </c>
    </row>
    <row r="26" ht="15" customHeight="1" s="38">
      <c r="A26" s="65">
        <f>Creators!B17</f>
        <v/>
      </c>
      <c r="B26" s="65">
        <f>Creators!D17</f>
        <v/>
      </c>
      <c r="C26" s="65">
        <f>Creators!E17</f>
        <v/>
      </c>
      <c r="D26" s="81">
        <f>INDEX('Feature benchmarks'!$B$14:$B$24,MATCH(B26,'Feature benchmarks'!$A$14:$A$24,0))</f>
        <v/>
      </c>
      <c r="E26" s="81">
        <f>MIN(100,ROUND(Creators!H17/INDEX('Feature benchmarks'!$C$6:$C$8,MATCH(C26,'Feature benchmarks'!$A$6:$A$8,0))*70,0))</f>
        <v/>
      </c>
      <c r="F26" s="81">
        <f>40+INDEX('Feature benchmarks'!$B$30:$B$34,MATCH(Creators!L17,'Feature benchmarks'!$A$30:$A$34,0))+IF(Creators!N17=$B$7,25,10)</f>
        <v/>
      </c>
      <c r="G26" s="81">
        <f>MIN(100,ROUND(INDEX('Feature benchmarks'!$F$6:$F$8,MATCH(C26,'Feature benchmarks'!$A$6:$A$8,0))/Creators!T17*70,0))</f>
        <v/>
      </c>
      <c r="H26" s="81">
        <f>Creators!K17</f>
        <v/>
      </c>
      <c r="I26" s="81">
        <f>ROUND(100-COUNTIFS(RecentVideos!$A$5:$A$58,Creators!A17,RecentVideos!$H$5:$H$58,"TRUE")/COUNTIF(RecentVideos!$A$5:$A$58,Creators!A17)*100,0)</f>
        <v/>
      </c>
      <c r="J26" s="82">
        <f>ROUND(D26*'Feature benchmarks'!$B$38+E26*'Feature benchmarks'!$B$39+F26*'Feature benchmarks'!$B$40+G26*'Feature benchmarks'!$B$41+H26*'Feature benchmarks'!$B$42+I26*'Feature benchmarks'!$B$43,1)</f>
        <v/>
      </c>
      <c r="K26" s="81">
        <f>RANK(J26,$J$14:$J$31,0)</f>
        <v/>
      </c>
      <c r="L26" s="81">
        <f>IF(Creators!R17&lt;=$B$8,"Yes","Over budget")</f>
        <v/>
      </c>
    </row>
    <row r="27" ht="15" customHeight="1" s="38">
      <c r="A27" s="65">
        <f>Creators!B18</f>
        <v/>
      </c>
      <c r="B27" s="65">
        <f>Creators!D18</f>
        <v/>
      </c>
      <c r="C27" s="65">
        <f>Creators!E18</f>
        <v/>
      </c>
      <c r="D27" s="81">
        <f>INDEX('Feature benchmarks'!$B$14:$B$24,MATCH(B27,'Feature benchmarks'!$A$14:$A$24,0))</f>
        <v/>
      </c>
      <c r="E27" s="81">
        <f>MIN(100,ROUND(Creators!H18/INDEX('Feature benchmarks'!$C$6:$C$8,MATCH(C27,'Feature benchmarks'!$A$6:$A$8,0))*70,0))</f>
        <v/>
      </c>
      <c r="F27" s="81">
        <f>40+INDEX('Feature benchmarks'!$B$30:$B$34,MATCH(Creators!L18,'Feature benchmarks'!$A$30:$A$34,0))+IF(Creators!N18=$B$7,25,10)</f>
        <v/>
      </c>
      <c r="G27" s="81">
        <f>MIN(100,ROUND(INDEX('Feature benchmarks'!$F$6:$F$8,MATCH(C27,'Feature benchmarks'!$A$6:$A$8,0))/Creators!T18*70,0))</f>
        <v/>
      </c>
      <c r="H27" s="81">
        <f>Creators!K18</f>
        <v/>
      </c>
      <c r="I27" s="81">
        <f>ROUND(100-COUNTIFS(RecentVideos!$A$5:$A$58,Creators!A18,RecentVideos!$H$5:$H$58,"TRUE")/COUNTIF(RecentVideos!$A$5:$A$58,Creators!A18)*100,0)</f>
        <v/>
      </c>
      <c r="J27" s="82">
        <f>ROUND(D27*'Feature benchmarks'!$B$38+E27*'Feature benchmarks'!$B$39+F27*'Feature benchmarks'!$B$40+G27*'Feature benchmarks'!$B$41+H27*'Feature benchmarks'!$B$42+I27*'Feature benchmarks'!$B$43,1)</f>
        <v/>
      </c>
      <c r="K27" s="81">
        <f>RANK(J27,$J$14:$J$31,0)</f>
        <v/>
      </c>
      <c r="L27" s="81">
        <f>IF(Creators!R18&lt;=$B$8,"Yes","Over budget")</f>
        <v/>
      </c>
    </row>
    <row r="28" ht="15" customHeight="1" s="38">
      <c r="A28" s="65">
        <f>Creators!B19</f>
        <v/>
      </c>
      <c r="B28" s="65">
        <f>Creators!D19</f>
        <v/>
      </c>
      <c r="C28" s="65">
        <f>Creators!E19</f>
        <v/>
      </c>
      <c r="D28" s="81">
        <f>INDEX('Feature benchmarks'!$B$14:$B$24,MATCH(B28,'Feature benchmarks'!$A$14:$A$24,0))</f>
        <v/>
      </c>
      <c r="E28" s="81">
        <f>MIN(100,ROUND(Creators!H19/INDEX('Feature benchmarks'!$C$6:$C$8,MATCH(C28,'Feature benchmarks'!$A$6:$A$8,0))*70,0))</f>
        <v/>
      </c>
      <c r="F28" s="81">
        <f>40+INDEX('Feature benchmarks'!$B$30:$B$34,MATCH(Creators!L19,'Feature benchmarks'!$A$30:$A$34,0))+IF(Creators!N19=$B$7,25,10)</f>
        <v/>
      </c>
      <c r="G28" s="81">
        <f>MIN(100,ROUND(INDEX('Feature benchmarks'!$F$6:$F$8,MATCH(C28,'Feature benchmarks'!$A$6:$A$8,0))/Creators!T19*70,0))</f>
        <v/>
      </c>
      <c r="H28" s="81">
        <f>Creators!K19</f>
        <v/>
      </c>
      <c r="I28" s="81">
        <f>ROUND(100-COUNTIFS(RecentVideos!$A$5:$A$58,Creators!A19,RecentVideos!$H$5:$H$58,"TRUE")/COUNTIF(RecentVideos!$A$5:$A$58,Creators!A19)*100,0)</f>
        <v/>
      </c>
      <c r="J28" s="82">
        <f>ROUND(D28*'Feature benchmarks'!$B$38+E28*'Feature benchmarks'!$B$39+F28*'Feature benchmarks'!$B$40+G28*'Feature benchmarks'!$B$41+H28*'Feature benchmarks'!$B$42+I28*'Feature benchmarks'!$B$43,1)</f>
        <v/>
      </c>
      <c r="K28" s="81">
        <f>RANK(J28,$J$14:$J$31,0)</f>
        <v/>
      </c>
      <c r="L28" s="81">
        <f>IF(Creators!R19&lt;=$B$8,"Yes","Over budget")</f>
        <v/>
      </c>
    </row>
    <row r="29" ht="15" customHeight="1" s="38">
      <c r="A29" s="65">
        <f>Creators!B20</f>
        <v/>
      </c>
      <c r="B29" s="65">
        <f>Creators!D20</f>
        <v/>
      </c>
      <c r="C29" s="65">
        <f>Creators!E20</f>
        <v/>
      </c>
      <c r="D29" s="81">
        <f>INDEX('Feature benchmarks'!$B$14:$B$24,MATCH(B29,'Feature benchmarks'!$A$14:$A$24,0))</f>
        <v/>
      </c>
      <c r="E29" s="81">
        <f>MIN(100,ROUND(Creators!H20/INDEX('Feature benchmarks'!$C$6:$C$8,MATCH(C29,'Feature benchmarks'!$A$6:$A$8,0))*70,0))</f>
        <v/>
      </c>
      <c r="F29" s="81">
        <f>40+INDEX('Feature benchmarks'!$B$30:$B$34,MATCH(Creators!L20,'Feature benchmarks'!$A$30:$A$34,0))+IF(Creators!N20=$B$7,25,10)</f>
        <v/>
      </c>
      <c r="G29" s="81">
        <f>MIN(100,ROUND(INDEX('Feature benchmarks'!$F$6:$F$8,MATCH(C29,'Feature benchmarks'!$A$6:$A$8,0))/Creators!T20*70,0))</f>
        <v/>
      </c>
      <c r="H29" s="81">
        <f>Creators!K20</f>
        <v/>
      </c>
      <c r="I29" s="81">
        <f>ROUND(100-COUNTIFS(RecentVideos!$A$5:$A$58,Creators!A20,RecentVideos!$H$5:$H$58,"TRUE")/COUNTIF(RecentVideos!$A$5:$A$58,Creators!A20)*100,0)</f>
        <v/>
      </c>
      <c r="J29" s="82">
        <f>ROUND(D29*'Feature benchmarks'!$B$38+E29*'Feature benchmarks'!$B$39+F29*'Feature benchmarks'!$B$40+G29*'Feature benchmarks'!$B$41+H29*'Feature benchmarks'!$B$42+I29*'Feature benchmarks'!$B$43,1)</f>
        <v/>
      </c>
      <c r="K29" s="81">
        <f>RANK(J29,$J$14:$J$31,0)</f>
        <v/>
      </c>
      <c r="L29" s="81">
        <f>IF(Creators!R20&lt;=$B$8,"Yes","Over budget")</f>
        <v/>
      </c>
    </row>
    <row r="30" ht="15" customHeight="1" s="38">
      <c r="A30" s="65">
        <f>Creators!B21</f>
        <v/>
      </c>
      <c r="B30" s="65">
        <f>Creators!D21</f>
        <v/>
      </c>
      <c r="C30" s="65">
        <f>Creators!E21</f>
        <v/>
      </c>
      <c r="D30" s="81">
        <f>INDEX('Feature benchmarks'!$B$14:$B$24,MATCH(B30,'Feature benchmarks'!$A$14:$A$24,0))</f>
        <v/>
      </c>
      <c r="E30" s="81">
        <f>MIN(100,ROUND(Creators!H21/INDEX('Feature benchmarks'!$C$6:$C$8,MATCH(C30,'Feature benchmarks'!$A$6:$A$8,0))*70,0))</f>
        <v/>
      </c>
      <c r="F30" s="81">
        <f>40+INDEX('Feature benchmarks'!$B$30:$B$34,MATCH(Creators!L21,'Feature benchmarks'!$A$30:$A$34,0))+IF(Creators!N21=$B$7,25,10)</f>
        <v/>
      </c>
      <c r="G30" s="81">
        <f>MIN(100,ROUND(INDEX('Feature benchmarks'!$F$6:$F$8,MATCH(C30,'Feature benchmarks'!$A$6:$A$8,0))/Creators!T21*70,0))</f>
        <v/>
      </c>
      <c r="H30" s="81">
        <f>Creators!K21</f>
        <v/>
      </c>
      <c r="I30" s="81">
        <f>ROUND(100-COUNTIFS(RecentVideos!$A$5:$A$58,Creators!A21,RecentVideos!$H$5:$H$58,"TRUE")/COUNTIF(RecentVideos!$A$5:$A$58,Creators!A21)*100,0)</f>
        <v/>
      </c>
      <c r="J30" s="82">
        <f>ROUND(D30*'Feature benchmarks'!$B$38+E30*'Feature benchmarks'!$B$39+F30*'Feature benchmarks'!$B$40+G30*'Feature benchmarks'!$B$41+H30*'Feature benchmarks'!$B$42+I30*'Feature benchmarks'!$B$43,1)</f>
        <v/>
      </c>
      <c r="K30" s="81">
        <f>RANK(J30,$J$14:$J$31,0)</f>
        <v/>
      </c>
      <c r="L30" s="81">
        <f>IF(Creators!R21&lt;=$B$8,"Yes","Over budget")</f>
        <v/>
      </c>
    </row>
    <row r="31" ht="15" customHeight="1" s="38">
      <c r="A31" s="65">
        <f>Creators!B22</f>
        <v/>
      </c>
      <c r="B31" s="65">
        <f>Creators!D22</f>
        <v/>
      </c>
      <c r="C31" s="65">
        <f>Creators!E22</f>
        <v/>
      </c>
      <c r="D31" s="81">
        <f>INDEX('Feature benchmarks'!$B$14:$B$24,MATCH(B31,'Feature benchmarks'!$A$14:$A$24,0))</f>
        <v/>
      </c>
      <c r="E31" s="81">
        <f>MIN(100,ROUND(Creators!H22/INDEX('Feature benchmarks'!$C$6:$C$8,MATCH(C31,'Feature benchmarks'!$A$6:$A$8,0))*70,0))</f>
        <v/>
      </c>
      <c r="F31" s="81">
        <f>40+INDEX('Feature benchmarks'!$B$30:$B$34,MATCH(Creators!L22,'Feature benchmarks'!$A$30:$A$34,0))+IF(Creators!N22=$B$7,25,10)</f>
        <v/>
      </c>
      <c r="G31" s="81">
        <f>MIN(100,ROUND(INDEX('Feature benchmarks'!$F$6:$F$8,MATCH(C31,'Feature benchmarks'!$A$6:$A$8,0))/Creators!T22*70,0))</f>
        <v/>
      </c>
      <c r="H31" s="81">
        <f>Creators!K22</f>
        <v/>
      </c>
      <c r="I31" s="81">
        <f>ROUND(100-COUNTIFS(RecentVideos!$A$5:$A$58,Creators!A22,RecentVideos!$H$5:$H$58,"TRUE")/COUNTIF(RecentVideos!$A$5:$A$58,Creators!A22)*100,0)</f>
        <v/>
      </c>
      <c r="J31" s="82">
        <f>ROUND(D31*'Feature benchmarks'!$B$38+E31*'Feature benchmarks'!$B$39+F31*'Feature benchmarks'!$B$40+G31*'Feature benchmarks'!$B$41+H31*'Feature benchmarks'!$B$42+I31*'Feature benchmarks'!$B$43,1)</f>
        <v/>
      </c>
      <c r="K31" s="81">
        <f>RANK(J31,$J$14:$J$31,0)</f>
        <v/>
      </c>
      <c r="L31" s="81">
        <f>IF(Creators!R22&lt;=$B$8,"Yes","Over budget")</f>
        <v/>
      </c>
    </row>
    <row r="32">
      <c r="A32" s="65">
        <f>Creators!B23</f>
        <v/>
      </c>
      <c r="B32" s="65">
        <f>Creators!D23</f>
        <v/>
      </c>
      <c r="C32" s="65">
        <f>Creators!E23</f>
        <v/>
      </c>
      <c r="D32" s="81">
        <f>INDEX('Feature benchmarks'!$B$14:$B$24,MATCH(B32,'Feature benchmarks'!$A$14:$A$24,0))</f>
        <v/>
      </c>
      <c r="E32" s="81">
        <f>MIN(100,ROUND(Creators!H23/INDEX('Feature benchmarks'!$C$6:$C$8,MATCH(C32,'Feature benchmarks'!$A$6:$A$8,0))*70,0))</f>
        <v/>
      </c>
      <c r="F32" s="81">
        <f>40+INDEX('Feature benchmarks'!$B$30:$B$34,MATCH(Creators!L23,'Feature benchmarks'!$A$30:$A$34,0))+IF(Creators!N23=$B$7,25,10)</f>
        <v/>
      </c>
      <c r="G32" s="81">
        <f>MIN(100,ROUND(INDEX('Feature benchmarks'!$F$6:$F$8,MATCH(C32,'Feature benchmarks'!$A$6:$A$8,0))/Creators!T23*70,0))</f>
        <v/>
      </c>
      <c r="H32" s="81">
        <f>Creators!K23</f>
        <v/>
      </c>
      <c r="I32" s="81">
        <f>ROUND(100-COUNTIFS(RecentVideos!$A$5:$A$154,Creators!A23,RecentVideos!$H$5:$H$154,"TRUE")/COUNTIF(RecentVideos!$A$5:$A$154,Creators!A23)*100,0)</f>
        <v/>
      </c>
      <c r="J32" s="82">
        <f>ROUND(D32*'Feature benchmarks'!$B$38+E32*'Feature benchmarks'!$B$39+F32*'Feature benchmarks'!$B$40+G32*'Feature benchmarks'!$B$41+H32*'Feature benchmarks'!$B$42+I32*'Feature benchmarks'!$B$43,1)</f>
        <v/>
      </c>
    </row>
    <row r="33" ht="15" customHeight="1" s="38">
      <c r="A33" s="65">
        <f>Creators!B24</f>
        <v/>
      </c>
      <c r="B33" s="65">
        <f>Creators!D24</f>
        <v/>
      </c>
      <c r="C33" s="65">
        <f>Creators!E24</f>
        <v/>
      </c>
      <c r="D33" s="81">
        <f>INDEX('Feature benchmarks'!$B$14:$B$24,MATCH(B33,'Feature benchmarks'!$A$14:$A$24,0))</f>
        <v/>
      </c>
      <c r="E33" s="81">
        <f>MIN(100,ROUND(Creators!H24/INDEX('Feature benchmarks'!$C$6:$C$8,MATCH(C33,'Feature benchmarks'!$A$6:$A$8,0))*70,0))</f>
        <v/>
      </c>
      <c r="F33" s="81">
        <f>40+INDEX('Feature benchmarks'!$B$30:$B$34,MATCH(Creators!L24,'Feature benchmarks'!$A$30:$A$34,0))+IF(Creators!N24=$B$7,25,10)</f>
        <v/>
      </c>
      <c r="G33" s="81">
        <f>MIN(100,ROUND(INDEX('Feature benchmarks'!$F$6:$F$8,MATCH(C33,'Feature benchmarks'!$A$6:$A$8,0))/Creators!T24*70,0))</f>
        <v/>
      </c>
      <c r="H33" s="81">
        <f>Creators!K24</f>
        <v/>
      </c>
      <c r="I33" s="81">
        <f>ROUND(100-COUNTIFS(RecentVideos!$A$5:$A$154,Creators!A24,RecentVideos!$H$5:$H$154,"TRUE")/COUNTIF(RecentVideos!$A$5:$A$154,Creators!A24)*100,0)</f>
        <v/>
      </c>
      <c r="J33" s="82">
        <f>ROUND(D33*'Feature benchmarks'!$B$38+E33*'Feature benchmarks'!$B$39+F33*'Feature benchmarks'!$B$40+G33*'Feature benchmarks'!$B$41+H33*'Feature benchmarks'!$B$42+I33*'Feature benchmarks'!$B$43,1)</f>
        <v/>
      </c>
    </row>
    <row r="34">
      <c r="A34" s="65">
        <f>Creators!B25</f>
        <v/>
      </c>
      <c r="B34" s="65">
        <f>Creators!D25</f>
        <v/>
      </c>
      <c r="C34" s="65">
        <f>Creators!E25</f>
        <v/>
      </c>
      <c r="D34" s="81">
        <f>INDEX('Feature benchmarks'!$B$14:$B$24,MATCH(B34,'Feature benchmarks'!$A$14:$A$24,0))</f>
        <v/>
      </c>
      <c r="E34" s="81">
        <f>MIN(100,ROUND(Creators!H25/INDEX('Feature benchmarks'!$C$6:$C$8,MATCH(C34,'Feature benchmarks'!$A$6:$A$8,0))*70,0))</f>
        <v/>
      </c>
      <c r="F34" s="81">
        <f>40+INDEX('Feature benchmarks'!$B$30:$B$34,MATCH(Creators!L25,'Feature benchmarks'!$A$30:$A$34,0))+IF(Creators!N25=$B$7,25,10)</f>
        <v/>
      </c>
      <c r="G34" s="81">
        <f>MIN(100,ROUND(INDEX('Feature benchmarks'!$F$6:$F$8,MATCH(C34,'Feature benchmarks'!$A$6:$A$8,0))/Creators!T25*70,0))</f>
        <v/>
      </c>
      <c r="H34" s="81">
        <f>Creators!K25</f>
        <v/>
      </c>
      <c r="I34" s="81">
        <f>ROUND(100-COUNTIFS(RecentVideos!$A$5:$A$154,Creators!A25,RecentVideos!$H$5:$H$154,"TRUE")/COUNTIF(RecentVideos!$A$5:$A$154,Creators!A25)*100,0)</f>
        <v/>
      </c>
      <c r="J34" s="82">
        <f>ROUND(D34*'Feature benchmarks'!$B$38+E34*'Feature benchmarks'!$B$39+F34*'Feature benchmarks'!$B$40+G34*'Feature benchmarks'!$B$41+H34*'Feature benchmarks'!$B$42+I34*'Feature benchmarks'!$B$43,1)</f>
        <v/>
      </c>
    </row>
    <row r="35">
      <c r="A35" s="65">
        <f>Creators!B26</f>
        <v/>
      </c>
      <c r="B35" s="65">
        <f>Creators!D26</f>
        <v/>
      </c>
      <c r="C35" s="65">
        <f>Creators!E26</f>
        <v/>
      </c>
      <c r="D35" s="81">
        <f>INDEX('Feature benchmarks'!$B$14:$B$24,MATCH(B35,'Feature benchmarks'!$A$14:$A$24,0))</f>
        <v/>
      </c>
      <c r="E35" s="81">
        <f>MIN(100,ROUND(Creators!H26/INDEX('Feature benchmarks'!$C$6:$C$8,MATCH(C35,'Feature benchmarks'!$A$6:$A$8,0))*70,0))</f>
        <v/>
      </c>
      <c r="F35" s="81">
        <f>40+INDEX('Feature benchmarks'!$B$30:$B$34,MATCH(Creators!L26,'Feature benchmarks'!$A$30:$A$34,0))+IF(Creators!N26=$B$7,25,10)</f>
        <v/>
      </c>
      <c r="G35" s="81">
        <f>MIN(100,ROUND(INDEX('Feature benchmarks'!$F$6:$F$8,MATCH(C35,'Feature benchmarks'!$A$6:$A$8,0))/Creators!T26*70,0))</f>
        <v/>
      </c>
      <c r="H35" s="81">
        <f>Creators!K26</f>
        <v/>
      </c>
      <c r="I35" s="81">
        <f>ROUND(100-COUNTIFS(RecentVideos!$A$5:$A$154,Creators!A26,RecentVideos!$H$5:$H$154,"TRUE")/COUNTIF(RecentVideos!$A$5:$A$154,Creators!A26)*100,0)</f>
        <v/>
      </c>
      <c r="J35" s="82">
        <f>ROUND(D35*'Feature benchmarks'!$B$38+E35*'Feature benchmarks'!$B$39+F35*'Feature benchmarks'!$B$40+G35*'Feature benchmarks'!$B$41+H35*'Feature benchmarks'!$B$42+I35*'Feature benchmarks'!$B$43,1)</f>
        <v/>
      </c>
    </row>
    <row r="36">
      <c r="A36" s="65">
        <f>Creators!B27</f>
        <v/>
      </c>
      <c r="B36" s="65">
        <f>Creators!D27</f>
        <v/>
      </c>
      <c r="C36" s="65">
        <f>Creators!E27</f>
        <v/>
      </c>
      <c r="D36" s="81">
        <f>INDEX('Feature benchmarks'!$B$14:$B$24,MATCH(B36,'Feature benchmarks'!$A$14:$A$24,0))</f>
        <v/>
      </c>
      <c r="E36" s="81">
        <f>MIN(100,ROUND(Creators!H27/INDEX('Feature benchmarks'!$C$6:$C$8,MATCH(C36,'Feature benchmarks'!$A$6:$A$8,0))*70,0))</f>
        <v/>
      </c>
      <c r="F36" s="81">
        <f>40+INDEX('Feature benchmarks'!$B$30:$B$34,MATCH(Creators!L27,'Feature benchmarks'!$A$30:$A$34,0))+IF(Creators!N27=$B$7,25,10)</f>
        <v/>
      </c>
      <c r="G36" s="81">
        <f>MIN(100,ROUND(INDEX('Feature benchmarks'!$F$6:$F$8,MATCH(C36,'Feature benchmarks'!$A$6:$A$8,0))/Creators!T27*70,0))</f>
        <v/>
      </c>
      <c r="H36" s="81">
        <f>Creators!K27</f>
        <v/>
      </c>
      <c r="I36" s="81">
        <f>ROUND(100-COUNTIFS(RecentVideos!$A$5:$A$154,Creators!A27,RecentVideos!$H$5:$H$154,"TRUE")/COUNTIF(RecentVideos!$A$5:$A$154,Creators!A27)*100,0)</f>
        <v/>
      </c>
      <c r="J36" s="82">
        <f>ROUND(D36*'Feature benchmarks'!$B$38+E36*'Feature benchmarks'!$B$39+F36*'Feature benchmarks'!$B$40+G36*'Feature benchmarks'!$B$41+H36*'Feature benchmarks'!$B$42+I36*'Feature benchmarks'!$B$43,1)</f>
        <v/>
      </c>
    </row>
    <row r="37">
      <c r="A37" s="65">
        <f>Creators!B28</f>
        <v/>
      </c>
      <c r="B37" s="65">
        <f>Creators!D28</f>
        <v/>
      </c>
      <c r="C37" s="65">
        <f>Creators!E28</f>
        <v/>
      </c>
      <c r="D37" s="81">
        <f>INDEX('Feature benchmarks'!$B$14:$B$24,MATCH(B37,'Feature benchmarks'!$A$14:$A$24,0))</f>
        <v/>
      </c>
      <c r="E37" s="81">
        <f>MIN(100,ROUND(Creators!H28/INDEX('Feature benchmarks'!$C$6:$C$8,MATCH(C37,'Feature benchmarks'!$A$6:$A$8,0))*70,0))</f>
        <v/>
      </c>
      <c r="F37" s="81">
        <f>40+INDEX('Feature benchmarks'!$B$30:$B$34,MATCH(Creators!L28,'Feature benchmarks'!$A$30:$A$34,0))+IF(Creators!N28=$B$7,25,10)</f>
        <v/>
      </c>
      <c r="G37" s="81">
        <f>MIN(100,ROUND(INDEX('Feature benchmarks'!$F$6:$F$8,MATCH(C37,'Feature benchmarks'!$A$6:$A$8,0))/Creators!T28*70,0))</f>
        <v/>
      </c>
      <c r="H37" s="81">
        <f>Creators!K28</f>
        <v/>
      </c>
      <c r="I37" s="81">
        <f>ROUND(100-COUNTIFS(RecentVideos!$A$5:$A$154,Creators!A28,RecentVideos!$H$5:$H$154,"TRUE")/COUNTIF(RecentVideos!$A$5:$A$154,Creators!A28)*100,0)</f>
        <v/>
      </c>
      <c r="J37" s="82">
        <f>ROUND(D37*'Feature benchmarks'!$B$38+E37*'Feature benchmarks'!$B$39+F37*'Feature benchmarks'!$B$40+G37*'Feature benchmarks'!$B$41+H37*'Feature benchmarks'!$B$42+I37*'Feature benchmarks'!$B$43,1)</f>
        <v/>
      </c>
    </row>
    <row r="38">
      <c r="A38" s="65">
        <f>Creators!B29</f>
        <v/>
      </c>
      <c r="B38" s="65">
        <f>Creators!D29</f>
        <v/>
      </c>
      <c r="C38" s="65">
        <f>Creators!E29</f>
        <v/>
      </c>
      <c r="D38" s="81">
        <f>INDEX('Feature benchmarks'!$B$14:$B$24,MATCH(B38,'Feature benchmarks'!$A$14:$A$24,0))</f>
        <v/>
      </c>
      <c r="E38" s="81">
        <f>MIN(100,ROUND(Creators!H29/INDEX('Feature benchmarks'!$C$6:$C$8,MATCH(C38,'Feature benchmarks'!$A$6:$A$8,0))*70,0))</f>
        <v/>
      </c>
      <c r="F38" s="81">
        <f>40+INDEX('Feature benchmarks'!$B$30:$B$34,MATCH(Creators!L29,'Feature benchmarks'!$A$30:$A$34,0))+IF(Creators!N29=$B$7,25,10)</f>
        <v/>
      </c>
      <c r="G38" s="81">
        <f>MIN(100,ROUND(INDEX('Feature benchmarks'!$F$6:$F$8,MATCH(C38,'Feature benchmarks'!$A$6:$A$8,0))/Creators!T29*70,0))</f>
        <v/>
      </c>
      <c r="H38" s="81">
        <f>Creators!K29</f>
        <v/>
      </c>
      <c r="I38" s="81">
        <f>ROUND(100-COUNTIFS(RecentVideos!$A$5:$A$154,Creators!A29,RecentVideos!$H$5:$H$154,"TRUE")/COUNTIF(RecentVideos!$A$5:$A$154,Creators!A29)*100,0)</f>
        <v/>
      </c>
      <c r="J38" s="82">
        <f>ROUND(D38*'Feature benchmarks'!$B$38+E38*'Feature benchmarks'!$B$39+F38*'Feature benchmarks'!$B$40+G38*'Feature benchmarks'!$B$41+H38*'Feature benchmarks'!$B$42+I38*'Feature benchmarks'!$B$43,1)</f>
        <v/>
      </c>
    </row>
    <row r="39">
      <c r="A39" s="65">
        <f>Creators!B30</f>
        <v/>
      </c>
      <c r="B39" s="65">
        <f>Creators!D30</f>
        <v/>
      </c>
      <c r="C39" s="65">
        <f>Creators!E30</f>
        <v/>
      </c>
      <c r="D39" s="81">
        <f>INDEX('Feature benchmarks'!$B$14:$B$24,MATCH(B39,'Feature benchmarks'!$A$14:$A$24,0))</f>
        <v/>
      </c>
      <c r="E39" s="81">
        <f>MIN(100,ROUND(Creators!H30/INDEX('Feature benchmarks'!$C$6:$C$8,MATCH(C39,'Feature benchmarks'!$A$6:$A$8,0))*70,0))</f>
        <v/>
      </c>
      <c r="F39" s="81">
        <f>40+INDEX('Feature benchmarks'!$B$30:$B$34,MATCH(Creators!L30,'Feature benchmarks'!$A$30:$A$34,0))+IF(Creators!N30=$B$7,25,10)</f>
        <v/>
      </c>
      <c r="G39" s="81">
        <f>MIN(100,ROUND(INDEX('Feature benchmarks'!$F$6:$F$8,MATCH(C39,'Feature benchmarks'!$A$6:$A$8,0))/Creators!T30*70,0))</f>
        <v/>
      </c>
      <c r="H39" s="81">
        <f>Creators!K30</f>
        <v/>
      </c>
      <c r="I39" s="81">
        <f>ROUND(100-COUNTIFS(RecentVideos!$A$5:$A$154,Creators!A30,RecentVideos!$H$5:$H$154,"TRUE")/COUNTIF(RecentVideos!$A$5:$A$154,Creators!A30)*100,0)</f>
        <v/>
      </c>
      <c r="J39" s="82">
        <f>ROUND(D39*'Feature benchmarks'!$B$38+E39*'Feature benchmarks'!$B$39+F39*'Feature benchmarks'!$B$40+G39*'Feature benchmarks'!$B$41+H39*'Feature benchmarks'!$B$42+I39*'Feature benchmarks'!$B$43,1)</f>
        <v/>
      </c>
    </row>
    <row r="40">
      <c r="A40" s="65">
        <f>Creators!B31</f>
        <v/>
      </c>
      <c r="B40" s="65">
        <f>Creators!D31</f>
        <v/>
      </c>
      <c r="C40" s="65">
        <f>Creators!E31</f>
        <v/>
      </c>
      <c r="D40" s="81">
        <f>INDEX('Feature benchmarks'!$B$14:$B$24,MATCH(B40,'Feature benchmarks'!$A$14:$A$24,0))</f>
        <v/>
      </c>
      <c r="E40" s="81">
        <f>MIN(100,ROUND(Creators!H31/INDEX('Feature benchmarks'!$C$6:$C$8,MATCH(C40,'Feature benchmarks'!$A$6:$A$8,0))*70,0))</f>
        <v/>
      </c>
      <c r="F40" s="81">
        <f>40+INDEX('Feature benchmarks'!$B$30:$B$34,MATCH(Creators!L31,'Feature benchmarks'!$A$30:$A$34,0))+IF(Creators!N31=$B$7,25,10)</f>
        <v/>
      </c>
      <c r="G40" s="81">
        <f>MIN(100,ROUND(INDEX('Feature benchmarks'!$F$6:$F$8,MATCH(C40,'Feature benchmarks'!$A$6:$A$8,0))/Creators!T31*70,0))</f>
        <v/>
      </c>
      <c r="H40" s="81">
        <f>Creators!K31</f>
        <v/>
      </c>
      <c r="I40" s="81">
        <f>ROUND(100-COUNTIFS(RecentVideos!$A$5:$A$154,Creators!A31,RecentVideos!$H$5:$H$154,"TRUE")/COUNTIF(RecentVideos!$A$5:$A$154,Creators!A31)*100,0)</f>
        <v/>
      </c>
      <c r="J40" s="82">
        <f>ROUND(D40*'Feature benchmarks'!$B$38+E40*'Feature benchmarks'!$B$39+F40*'Feature benchmarks'!$B$40+G40*'Feature benchmarks'!$B$41+H40*'Feature benchmarks'!$B$42+I40*'Feature benchmarks'!$B$43,1)</f>
        <v/>
      </c>
    </row>
    <row r="41">
      <c r="A41" s="65">
        <f>Creators!B32</f>
        <v/>
      </c>
      <c r="B41" s="65">
        <f>Creators!D32</f>
        <v/>
      </c>
      <c r="C41" s="65">
        <f>Creators!E32</f>
        <v/>
      </c>
      <c r="D41" s="81">
        <f>INDEX('Feature benchmarks'!$B$14:$B$24,MATCH(B41,'Feature benchmarks'!$A$14:$A$24,0))</f>
        <v/>
      </c>
      <c r="E41" s="81">
        <f>MIN(100,ROUND(Creators!H32/INDEX('Feature benchmarks'!$C$6:$C$8,MATCH(C41,'Feature benchmarks'!$A$6:$A$8,0))*70,0))</f>
        <v/>
      </c>
      <c r="F41" s="81">
        <f>40+INDEX('Feature benchmarks'!$B$30:$B$34,MATCH(Creators!L32,'Feature benchmarks'!$A$30:$A$34,0))+IF(Creators!N32=$B$7,25,10)</f>
        <v/>
      </c>
      <c r="G41" s="81">
        <f>MIN(100,ROUND(INDEX('Feature benchmarks'!$F$6:$F$8,MATCH(C41,'Feature benchmarks'!$A$6:$A$8,0))/Creators!T32*70,0))</f>
        <v/>
      </c>
      <c r="H41" s="81">
        <f>Creators!K32</f>
        <v/>
      </c>
      <c r="I41" s="81">
        <f>ROUND(100-COUNTIFS(RecentVideos!$A$5:$A$154,Creators!A32,RecentVideos!$H$5:$H$154,"TRUE")/COUNTIF(RecentVideos!$A$5:$A$154,Creators!A32)*100,0)</f>
        <v/>
      </c>
      <c r="J41" s="82">
        <f>ROUND(D41*'Feature benchmarks'!$B$38+E41*'Feature benchmarks'!$B$39+F41*'Feature benchmarks'!$B$40+G41*'Feature benchmarks'!$B$41+H41*'Feature benchmarks'!$B$42+I41*'Feature benchmarks'!$B$43,1)</f>
        <v/>
      </c>
    </row>
    <row r="42">
      <c r="A42" s="65">
        <f>Creators!B33</f>
        <v/>
      </c>
      <c r="B42" s="65">
        <f>Creators!D33</f>
        <v/>
      </c>
      <c r="C42" s="65">
        <f>Creators!E33</f>
        <v/>
      </c>
      <c r="D42" s="81">
        <f>INDEX('Feature benchmarks'!$B$14:$B$24,MATCH(B42,'Feature benchmarks'!$A$14:$A$24,0))</f>
        <v/>
      </c>
      <c r="E42" s="81">
        <f>MIN(100,ROUND(Creators!H33/INDEX('Feature benchmarks'!$C$6:$C$8,MATCH(C42,'Feature benchmarks'!$A$6:$A$8,0))*70,0))</f>
        <v/>
      </c>
      <c r="F42" s="81">
        <f>40+INDEX('Feature benchmarks'!$B$30:$B$34,MATCH(Creators!L33,'Feature benchmarks'!$A$30:$A$34,0))+IF(Creators!N33=$B$7,25,10)</f>
        <v/>
      </c>
      <c r="G42" s="81">
        <f>MIN(100,ROUND(INDEX('Feature benchmarks'!$F$6:$F$8,MATCH(C42,'Feature benchmarks'!$A$6:$A$8,0))/Creators!T33*70,0))</f>
        <v/>
      </c>
      <c r="H42" s="81">
        <f>Creators!K33</f>
        <v/>
      </c>
      <c r="I42" s="81">
        <f>ROUND(100-COUNTIFS(RecentVideos!$A$5:$A$154,Creators!A33,RecentVideos!$H$5:$H$154,"TRUE")/COUNTIF(RecentVideos!$A$5:$A$154,Creators!A33)*100,0)</f>
        <v/>
      </c>
      <c r="J42" s="82">
        <f>ROUND(D42*'Feature benchmarks'!$B$38+E42*'Feature benchmarks'!$B$39+F42*'Feature benchmarks'!$B$40+G42*'Feature benchmarks'!$B$41+H42*'Feature benchmarks'!$B$42+I42*'Feature benchmarks'!$B$43,1)</f>
        <v/>
      </c>
    </row>
    <row r="43">
      <c r="A43" s="65">
        <f>Creators!B34</f>
        <v/>
      </c>
      <c r="B43" s="65">
        <f>Creators!D34</f>
        <v/>
      </c>
      <c r="C43" s="65">
        <f>Creators!E34</f>
        <v/>
      </c>
      <c r="D43" s="81">
        <f>INDEX('Feature benchmarks'!$B$14:$B$24,MATCH(B43,'Feature benchmarks'!$A$14:$A$24,0))</f>
        <v/>
      </c>
      <c r="E43" s="81">
        <f>MIN(100,ROUND(Creators!H34/INDEX('Feature benchmarks'!$C$6:$C$8,MATCH(C43,'Feature benchmarks'!$A$6:$A$8,0))*70,0))</f>
        <v/>
      </c>
      <c r="F43" s="81">
        <f>40+INDEX('Feature benchmarks'!$B$30:$B$34,MATCH(Creators!L34,'Feature benchmarks'!$A$30:$A$34,0))+IF(Creators!N34=$B$7,25,10)</f>
        <v/>
      </c>
      <c r="G43" s="81">
        <f>MIN(100,ROUND(INDEX('Feature benchmarks'!$F$6:$F$8,MATCH(C43,'Feature benchmarks'!$A$6:$A$8,0))/Creators!T34*70,0))</f>
        <v/>
      </c>
      <c r="H43" s="81">
        <f>Creators!K34</f>
        <v/>
      </c>
      <c r="I43" s="81">
        <f>ROUND(100-COUNTIFS(RecentVideos!$A$5:$A$154,Creators!A34,RecentVideos!$H$5:$H$154,"TRUE")/COUNTIF(RecentVideos!$A$5:$A$154,Creators!A34)*100,0)</f>
        <v/>
      </c>
      <c r="J43" s="82">
        <f>ROUND(D43*'Feature benchmarks'!$B$38+E43*'Feature benchmarks'!$B$39+F43*'Feature benchmarks'!$B$40+G43*'Feature benchmarks'!$B$41+H43*'Feature benchmarks'!$B$42+I43*'Feature benchmarks'!$B$43,1)</f>
        <v/>
      </c>
    </row>
    <row r="44">
      <c r="A44" s="65">
        <f>Creators!B35</f>
        <v/>
      </c>
      <c r="B44" s="65">
        <f>Creators!D35</f>
        <v/>
      </c>
      <c r="C44" s="65">
        <f>Creators!E35</f>
        <v/>
      </c>
      <c r="D44" s="81">
        <f>INDEX('Feature benchmarks'!$B$14:$B$24,MATCH(B44,'Feature benchmarks'!$A$14:$A$24,0))</f>
        <v/>
      </c>
      <c r="E44" s="81">
        <f>MIN(100,ROUND(Creators!H35/INDEX('Feature benchmarks'!$C$6:$C$8,MATCH(C44,'Feature benchmarks'!$A$6:$A$8,0))*70,0))</f>
        <v/>
      </c>
      <c r="F44" s="81">
        <f>40+INDEX('Feature benchmarks'!$B$30:$B$34,MATCH(Creators!L35,'Feature benchmarks'!$A$30:$A$34,0))+IF(Creators!N35=$B$7,25,10)</f>
        <v/>
      </c>
      <c r="G44" s="81">
        <f>MIN(100,ROUND(INDEX('Feature benchmarks'!$F$6:$F$8,MATCH(C44,'Feature benchmarks'!$A$6:$A$8,0))/Creators!T35*70,0))</f>
        <v/>
      </c>
      <c r="H44" s="81">
        <f>Creators!K35</f>
        <v/>
      </c>
      <c r="I44" s="81">
        <f>ROUND(100-COUNTIFS(RecentVideos!$A$5:$A$154,Creators!A35,RecentVideos!$H$5:$H$154,"TRUE")/COUNTIF(RecentVideos!$A$5:$A$154,Creators!A35)*100,0)</f>
        <v/>
      </c>
      <c r="J44" s="82">
        <f>ROUND(D44*'Feature benchmarks'!$B$38+E44*'Feature benchmarks'!$B$39+F44*'Feature benchmarks'!$B$40+G44*'Feature benchmarks'!$B$41+H44*'Feature benchmarks'!$B$42+I44*'Feature benchmarks'!$B$43,1)</f>
        <v/>
      </c>
    </row>
    <row r="45">
      <c r="A45" s="65">
        <f>Creators!B36</f>
        <v/>
      </c>
      <c r="B45" s="65">
        <f>Creators!D36</f>
        <v/>
      </c>
      <c r="C45" s="65">
        <f>Creators!E36</f>
        <v/>
      </c>
      <c r="D45" s="81">
        <f>INDEX('Feature benchmarks'!$B$14:$B$24,MATCH(B45,'Feature benchmarks'!$A$14:$A$24,0))</f>
        <v/>
      </c>
      <c r="E45" s="81">
        <f>MIN(100,ROUND(Creators!H36/INDEX('Feature benchmarks'!$C$6:$C$8,MATCH(C45,'Feature benchmarks'!$A$6:$A$8,0))*70,0))</f>
        <v/>
      </c>
      <c r="F45" s="81">
        <f>40+INDEX('Feature benchmarks'!$B$30:$B$34,MATCH(Creators!L36,'Feature benchmarks'!$A$30:$A$34,0))+IF(Creators!N36=$B$7,25,10)</f>
        <v/>
      </c>
      <c r="G45" s="81">
        <f>MIN(100,ROUND(INDEX('Feature benchmarks'!$F$6:$F$8,MATCH(C45,'Feature benchmarks'!$A$6:$A$8,0))/Creators!T36*70,0))</f>
        <v/>
      </c>
      <c r="H45" s="81">
        <f>Creators!K36</f>
        <v/>
      </c>
      <c r="I45" s="81">
        <f>ROUND(100-COUNTIFS(RecentVideos!$A$5:$A$154,Creators!A36,RecentVideos!$H$5:$H$154,"TRUE")/COUNTIF(RecentVideos!$A$5:$A$154,Creators!A36)*100,0)</f>
        <v/>
      </c>
      <c r="J45" s="82">
        <f>ROUND(D45*'Feature benchmarks'!$B$38+E45*'Feature benchmarks'!$B$39+F45*'Feature benchmarks'!$B$40+G45*'Feature benchmarks'!$B$41+H45*'Feature benchmarks'!$B$42+I45*'Feature benchmarks'!$B$43,1)</f>
        <v/>
      </c>
    </row>
    <row r="46">
      <c r="A46" s="65">
        <f>Creators!B37</f>
        <v/>
      </c>
      <c r="B46" s="65">
        <f>Creators!D37</f>
        <v/>
      </c>
      <c r="C46" s="65">
        <f>Creators!E37</f>
        <v/>
      </c>
      <c r="D46" s="81">
        <f>INDEX('Feature benchmarks'!$B$14:$B$24,MATCH(B46,'Feature benchmarks'!$A$14:$A$24,0))</f>
        <v/>
      </c>
      <c r="E46" s="81">
        <f>MIN(100,ROUND(Creators!H37/INDEX('Feature benchmarks'!$C$6:$C$8,MATCH(C46,'Feature benchmarks'!$A$6:$A$8,0))*70,0))</f>
        <v/>
      </c>
      <c r="F46" s="81">
        <f>40+INDEX('Feature benchmarks'!$B$30:$B$34,MATCH(Creators!L37,'Feature benchmarks'!$A$30:$A$34,0))+IF(Creators!N37=$B$7,25,10)</f>
        <v/>
      </c>
      <c r="G46" s="81">
        <f>MIN(100,ROUND(INDEX('Feature benchmarks'!$F$6:$F$8,MATCH(C46,'Feature benchmarks'!$A$6:$A$8,0))/Creators!T37*70,0))</f>
        <v/>
      </c>
      <c r="H46" s="81">
        <f>Creators!K37</f>
        <v/>
      </c>
      <c r="I46" s="81">
        <f>ROUND(100-COUNTIFS(RecentVideos!$A$5:$A$154,Creators!A37,RecentVideos!$H$5:$H$154,"TRUE")/COUNTIF(RecentVideos!$A$5:$A$154,Creators!A37)*100,0)</f>
        <v/>
      </c>
      <c r="J46" s="82">
        <f>ROUND(D46*'Feature benchmarks'!$B$38+E46*'Feature benchmarks'!$B$39+F46*'Feature benchmarks'!$B$40+G46*'Feature benchmarks'!$B$41+H46*'Feature benchmarks'!$B$42+I46*'Feature benchmarks'!$B$43,1)</f>
        <v/>
      </c>
    </row>
    <row r="47">
      <c r="A47" s="65">
        <f>Creators!B38</f>
        <v/>
      </c>
      <c r="B47" s="65">
        <f>Creators!D38</f>
        <v/>
      </c>
      <c r="C47" s="65">
        <f>Creators!E38</f>
        <v/>
      </c>
      <c r="D47" s="81">
        <f>INDEX('Feature benchmarks'!$B$14:$B$24,MATCH(B47,'Feature benchmarks'!$A$14:$A$24,0))</f>
        <v/>
      </c>
      <c r="E47" s="81">
        <f>MIN(100,ROUND(Creators!H38/INDEX('Feature benchmarks'!$C$6:$C$8,MATCH(C47,'Feature benchmarks'!$A$6:$A$8,0))*70,0))</f>
        <v/>
      </c>
      <c r="F47" s="81">
        <f>40+INDEX('Feature benchmarks'!$B$30:$B$34,MATCH(Creators!L38,'Feature benchmarks'!$A$30:$A$34,0))+IF(Creators!N38=$B$7,25,10)</f>
        <v/>
      </c>
      <c r="G47" s="81">
        <f>MIN(100,ROUND(INDEX('Feature benchmarks'!$F$6:$F$8,MATCH(C47,'Feature benchmarks'!$A$6:$A$8,0))/Creators!T38*70,0))</f>
        <v/>
      </c>
      <c r="H47" s="81">
        <f>Creators!K38</f>
        <v/>
      </c>
      <c r="I47" s="81">
        <f>ROUND(100-COUNTIFS(RecentVideos!$A$5:$A$154,Creators!A38,RecentVideos!$H$5:$H$154,"TRUE")/COUNTIF(RecentVideos!$A$5:$A$154,Creators!A38)*100,0)</f>
        <v/>
      </c>
      <c r="J47" s="82">
        <f>ROUND(D47*'Feature benchmarks'!$B$38+E47*'Feature benchmarks'!$B$39+F47*'Feature benchmarks'!$B$40+G47*'Feature benchmarks'!$B$41+H47*'Feature benchmarks'!$B$42+I47*'Feature benchmarks'!$B$43,1)</f>
        <v/>
      </c>
    </row>
    <row r="48">
      <c r="A48" s="65">
        <f>Creators!B39</f>
        <v/>
      </c>
      <c r="B48" s="65">
        <f>Creators!D39</f>
        <v/>
      </c>
      <c r="C48" s="65">
        <f>Creators!E39</f>
        <v/>
      </c>
      <c r="D48" s="81">
        <f>INDEX('Feature benchmarks'!$B$14:$B$24,MATCH(B48,'Feature benchmarks'!$A$14:$A$24,0))</f>
        <v/>
      </c>
      <c r="E48" s="81">
        <f>MIN(100,ROUND(Creators!H39/INDEX('Feature benchmarks'!$C$6:$C$8,MATCH(C48,'Feature benchmarks'!$A$6:$A$8,0))*70,0))</f>
        <v/>
      </c>
      <c r="F48" s="81">
        <f>40+INDEX('Feature benchmarks'!$B$30:$B$34,MATCH(Creators!L39,'Feature benchmarks'!$A$30:$A$34,0))+IF(Creators!N39=$B$7,25,10)</f>
        <v/>
      </c>
      <c r="G48" s="81">
        <f>MIN(100,ROUND(INDEX('Feature benchmarks'!$F$6:$F$8,MATCH(C48,'Feature benchmarks'!$A$6:$A$8,0))/Creators!T39*70,0))</f>
        <v/>
      </c>
      <c r="H48" s="81">
        <f>Creators!K39</f>
        <v/>
      </c>
      <c r="I48" s="81">
        <f>ROUND(100-COUNTIFS(RecentVideos!$A$5:$A$154,Creators!A39,RecentVideos!$H$5:$H$154,"TRUE")/COUNTIF(RecentVideos!$A$5:$A$154,Creators!A39)*100,0)</f>
        <v/>
      </c>
      <c r="J48" s="82">
        <f>ROUND(D48*'Feature benchmarks'!$B$38+E48*'Feature benchmarks'!$B$39+F48*'Feature benchmarks'!$B$40+G48*'Feature benchmarks'!$B$41+H48*'Feature benchmarks'!$B$42+I48*'Feature benchmarks'!$B$43,1)</f>
        <v/>
      </c>
    </row>
    <row r="49">
      <c r="A49" s="65">
        <f>Creators!B40</f>
        <v/>
      </c>
      <c r="B49" s="65">
        <f>Creators!D40</f>
        <v/>
      </c>
      <c r="C49" s="65">
        <f>Creators!E40</f>
        <v/>
      </c>
      <c r="D49" s="81">
        <f>INDEX('Feature benchmarks'!$B$14:$B$24,MATCH(B49,'Feature benchmarks'!$A$14:$A$24,0))</f>
        <v/>
      </c>
      <c r="E49" s="81">
        <f>MIN(100,ROUND(Creators!H40/INDEX('Feature benchmarks'!$C$6:$C$8,MATCH(C49,'Feature benchmarks'!$A$6:$A$8,0))*70,0))</f>
        <v/>
      </c>
      <c r="F49" s="81">
        <f>40+INDEX('Feature benchmarks'!$B$30:$B$34,MATCH(Creators!L40,'Feature benchmarks'!$A$30:$A$34,0))+IF(Creators!N40=$B$7,25,10)</f>
        <v/>
      </c>
      <c r="G49" s="81">
        <f>MIN(100,ROUND(INDEX('Feature benchmarks'!$F$6:$F$8,MATCH(C49,'Feature benchmarks'!$A$6:$A$8,0))/Creators!T40*70,0))</f>
        <v/>
      </c>
      <c r="H49" s="81">
        <f>Creators!K40</f>
        <v/>
      </c>
      <c r="I49" s="81">
        <f>ROUND(100-COUNTIFS(RecentVideos!$A$5:$A$154,Creators!A40,RecentVideos!$H$5:$H$154,"TRUE")/COUNTIF(RecentVideos!$A$5:$A$154,Creators!A40)*100,0)</f>
        <v/>
      </c>
      <c r="J49" s="82">
        <f>ROUND(D49*'Feature benchmarks'!$B$38+E49*'Feature benchmarks'!$B$39+F49*'Feature benchmarks'!$B$40+G49*'Feature benchmarks'!$B$41+H49*'Feature benchmarks'!$B$42+I49*'Feature benchmarks'!$B$43,1)</f>
        <v/>
      </c>
    </row>
    <row r="50">
      <c r="A50" s="65">
        <f>Creators!B41</f>
        <v/>
      </c>
      <c r="B50" s="65">
        <f>Creators!D41</f>
        <v/>
      </c>
      <c r="C50" s="65">
        <f>Creators!E41</f>
        <v/>
      </c>
      <c r="D50" s="81">
        <f>INDEX('Feature benchmarks'!$B$14:$B$24,MATCH(B50,'Feature benchmarks'!$A$14:$A$24,0))</f>
        <v/>
      </c>
      <c r="E50" s="81">
        <f>MIN(100,ROUND(Creators!H41/INDEX('Feature benchmarks'!$C$6:$C$8,MATCH(C50,'Feature benchmarks'!$A$6:$A$8,0))*70,0))</f>
        <v/>
      </c>
      <c r="F50" s="81">
        <f>40+INDEX('Feature benchmarks'!$B$30:$B$34,MATCH(Creators!L41,'Feature benchmarks'!$A$30:$A$34,0))+IF(Creators!N41=$B$7,25,10)</f>
        <v/>
      </c>
      <c r="G50" s="81">
        <f>MIN(100,ROUND(INDEX('Feature benchmarks'!$F$6:$F$8,MATCH(C50,'Feature benchmarks'!$A$6:$A$8,0))/Creators!T41*70,0))</f>
        <v/>
      </c>
      <c r="H50" s="81">
        <f>Creators!K41</f>
        <v/>
      </c>
      <c r="I50" s="81">
        <f>ROUND(100-COUNTIFS(RecentVideos!$A$5:$A$154,Creators!A41,RecentVideos!$H$5:$H$154,"TRUE")/COUNTIF(RecentVideos!$A$5:$A$154,Creators!A41)*100,0)</f>
        <v/>
      </c>
      <c r="J50" s="82">
        <f>ROUND(D50*'Feature benchmarks'!$B$38+E50*'Feature benchmarks'!$B$39+F50*'Feature benchmarks'!$B$40+G50*'Feature benchmarks'!$B$41+H50*'Feature benchmarks'!$B$42+I50*'Feature benchmarks'!$B$43,1)</f>
        <v/>
      </c>
    </row>
    <row r="51">
      <c r="A51" s="65">
        <f>Creators!B42</f>
        <v/>
      </c>
      <c r="B51" s="65">
        <f>Creators!D42</f>
        <v/>
      </c>
      <c r="C51" s="65">
        <f>Creators!E42</f>
        <v/>
      </c>
      <c r="D51" s="81">
        <f>INDEX('Feature benchmarks'!$B$14:$B$24,MATCH(B51,'Feature benchmarks'!$A$14:$A$24,0))</f>
        <v/>
      </c>
      <c r="E51" s="81">
        <f>MIN(100,ROUND(Creators!H42/INDEX('Feature benchmarks'!$C$6:$C$8,MATCH(C51,'Feature benchmarks'!$A$6:$A$8,0))*70,0))</f>
        <v/>
      </c>
      <c r="F51" s="81">
        <f>40+INDEX('Feature benchmarks'!$B$30:$B$34,MATCH(Creators!L42,'Feature benchmarks'!$A$30:$A$34,0))+IF(Creators!N42=$B$7,25,10)</f>
        <v/>
      </c>
      <c r="G51" s="81">
        <f>MIN(100,ROUND(INDEX('Feature benchmarks'!$F$6:$F$8,MATCH(C51,'Feature benchmarks'!$A$6:$A$8,0))/Creators!T42*70,0))</f>
        <v/>
      </c>
      <c r="H51" s="81">
        <f>Creators!K42</f>
        <v/>
      </c>
      <c r="I51" s="81">
        <f>ROUND(100-COUNTIFS(RecentVideos!$A$5:$A$154,Creators!A42,RecentVideos!$H$5:$H$154,"TRUE")/COUNTIF(RecentVideos!$A$5:$A$154,Creators!A42)*100,0)</f>
        <v/>
      </c>
      <c r="J51" s="82">
        <f>ROUND(D51*'Feature benchmarks'!$B$38+E51*'Feature benchmarks'!$B$39+F51*'Feature benchmarks'!$B$40+G51*'Feature benchmarks'!$B$41+H51*'Feature benchmarks'!$B$42+I51*'Feature benchmarks'!$B$43,1)</f>
        <v/>
      </c>
    </row>
    <row r="52">
      <c r="A52" s="65">
        <f>Creators!B43</f>
        <v/>
      </c>
      <c r="B52" s="65">
        <f>Creators!D43</f>
        <v/>
      </c>
      <c r="C52" s="65">
        <f>Creators!E43</f>
        <v/>
      </c>
      <c r="D52" s="81">
        <f>INDEX('Feature benchmarks'!$B$14:$B$24,MATCH(B52,'Feature benchmarks'!$A$14:$A$24,0))</f>
        <v/>
      </c>
      <c r="E52" s="81">
        <f>MIN(100,ROUND(Creators!H43/INDEX('Feature benchmarks'!$C$6:$C$8,MATCH(C52,'Feature benchmarks'!$A$6:$A$8,0))*70,0))</f>
        <v/>
      </c>
      <c r="F52" s="81">
        <f>40+INDEX('Feature benchmarks'!$B$30:$B$34,MATCH(Creators!L43,'Feature benchmarks'!$A$30:$A$34,0))+IF(Creators!N43=$B$7,25,10)</f>
        <v/>
      </c>
      <c r="G52" s="81">
        <f>MIN(100,ROUND(INDEX('Feature benchmarks'!$F$6:$F$8,MATCH(C52,'Feature benchmarks'!$A$6:$A$8,0))/Creators!T43*70,0))</f>
        <v/>
      </c>
      <c r="H52" s="81">
        <f>Creators!K43</f>
        <v/>
      </c>
      <c r="I52" s="81">
        <f>ROUND(100-COUNTIFS(RecentVideos!$A$5:$A$154,Creators!A43,RecentVideos!$H$5:$H$154,"TRUE")/COUNTIF(RecentVideos!$A$5:$A$154,Creators!A43)*100,0)</f>
        <v/>
      </c>
      <c r="J52" s="82">
        <f>ROUND(D52*'Feature benchmarks'!$B$38+E52*'Feature benchmarks'!$B$39+F52*'Feature benchmarks'!$B$40+G52*'Feature benchmarks'!$B$41+H52*'Feature benchmarks'!$B$42+I52*'Feature benchmarks'!$B$43,1)</f>
        <v/>
      </c>
    </row>
    <row r="53">
      <c r="A53" s="65">
        <f>Creators!B44</f>
        <v/>
      </c>
      <c r="B53" s="65">
        <f>Creators!D44</f>
        <v/>
      </c>
      <c r="C53" s="65">
        <f>Creators!E44</f>
        <v/>
      </c>
      <c r="D53" s="81">
        <f>INDEX('Feature benchmarks'!$B$14:$B$24,MATCH(B53,'Feature benchmarks'!$A$14:$A$24,0))</f>
        <v/>
      </c>
      <c r="E53" s="81">
        <f>MIN(100,ROUND(Creators!H44/INDEX('Feature benchmarks'!$C$6:$C$8,MATCH(C53,'Feature benchmarks'!$A$6:$A$8,0))*70,0))</f>
        <v/>
      </c>
      <c r="F53" s="81">
        <f>40+INDEX('Feature benchmarks'!$B$30:$B$34,MATCH(Creators!L44,'Feature benchmarks'!$A$30:$A$34,0))+IF(Creators!N44=$B$7,25,10)</f>
        <v/>
      </c>
      <c r="G53" s="81">
        <f>MIN(100,ROUND(INDEX('Feature benchmarks'!$F$6:$F$8,MATCH(C53,'Feature benchmarks'!$A$6:$A$8,0))/Creators!T44*70,0))</f>
        <v/>
      </c>
      <c r="H53" s="81">
        <f>Creators!K44</f>
        <v/>
      </c>
      <c r="I53" s="81">
        <f>ROUND(100-COUNTIFS(RecentVideos!$A$5:$A$154,Creators!A44,RecentVideos!$H$5:$H$154,"TRUE")/COUNTIF(RecentVideos!$A$5:$A$154,Creators!A44)*100,0)</f>
        <v/>
      </c>
      <c r="J53" s="82">
        <f>ROUND(D53*'Feature benchmarks'!$B$38+E53*'Feature benchmarks'!$B$39+F53*'Feature benchmarks'!$B$40+G53*'Feature benchmarks'!$B$41+H53*'Feature benchmarks'!$B$42+I53*'Feature benchmarks'!$B$43,1)</f>
        <v/>
      </c>
    </row>
    <row r="54">
      <c r="A54" s="65">
        <f>Creators!B45</f>
        <v/>
      </c>
      <c r="B54" s="65">
        <f>Creators!D45</f>
        <v/>
      </c>
      <c r="C54" s="65">
        <f>Creators!E45</f>
        <v/>
      </c>
      <c r="D54" s="81">
        <f>INDEX('Feature benchmarks'!$B$14:$B$24,MATCH(B54,'Feature benchmarks'!$A$14:$A$24,0))</f>
        <v/>
      </c>
      <c r="E54" s="81">
        <f>MIN(100,ROUND(Creators!H45/INDEX('Feature benchmarks'!$C$6:$C$8,MATCH(C54,'Feature benchmarks'!$A$6:$A$8,0))*70,0))</f>
        <v/>
      </c>
      <c r="F54" s="81">
        <f>40+INDEX('Feature benchmarks'!$B$30:$B$34,MATCH(Creators!L45,'Feature benchmarks'!$A$30:$A$34,0))+IF(Creators!N45=$B$7,25,10)</f>
        <v/>
      </c>
      <c r="G54" s="81">
        <f>MIN(100,ROUND(INDEX('Feature benchmarks'!$F$6:$F$8,MATCH(C54,'Feature benchmarks'!$A$6:$A$8,0))/Creators!T45*70,0))</f>
        <v/>
      </c>
      <c r="H54" s="81">
        <f>Creators!K45</f>
        <v/>
      </c>
      <c r="I54" s="81">
        <f>ROUND(100-COUNTIFS(RecentVideos!$A$5:$A$154,Creators!A45,RecentVideos!$H$5:$H$154,"TRUE")/COUNTIF(RecentVideos!$A$5:$A$154,Creators!A45)*100,0)</f>
        <v/>
      </c>
      <c r="J54" s="82">
        <f>ROUND(D54*'Feature benchmarks'!$B$38+E54*'Feature benchmarks'!$B$39+F54*'Feature benchmarks'!$B$40+G54*'Feature benchmarks'!$B$41+H54*'Feature benchmarks'!$B$42+I54*'Feature benchmarks'!$B$43,1)</f>
        <v/>
      </c>
    </row>
    <row r="55">
      <c r="A55" s="65">
        <f>Creators!B46</f>
        <v/>
      </c>
      <c r="B55" s="65">
        <f>Creators!D46</f>
        <v/>
      </c>
      <c r="C55" s="65">
        <f>Creators!E46</f>
        <v/>
      </c>
      <c r="D55" s="81">
        <f>INDEX('Feature benchmarks'!$B$14:$B$24,MATCH(B55,'Feature benchmarks'!$A$14:$A$24,0))</f>
        <v/>
      </c>
      <c r="E55" s="81">
        <f>MIN(100,ROUND(Creators!H46/INDEX('Feature benchmarks'!$C$6:$C$8,MATCH(C55,'Feature benchmarks'!$A$6:$A$8,0))*70,0))</f>
        <v/>
      </c>
      <c r="F55" s="81">
        <f>40+INDEX('Feature benchmarks'!$B$30:$B$34,MATCH(Creators!L46,'Feature benchmarks'!$A$30:$A$34,0))+IF(Creators!N46=$B$7,25,10)</f>
        <v/>
      </c>
      <c r="G55" s="81">
        <f>MIN(100,ROUND(INDEX('Feature benchmarks'!$F$6:$F$8,MATCH(C55,'Feature benchmarks'!$A$6:$A$8,0))/Creators!T46*70,0))</f>
        <v/>
      </c>
      <c r="H55" s="81">
        <f>Creators!K46</f>
        <v/>
      </c>
      <c r="I55" s="81">
        <f>ROUND(100-COUNTIFS(RecentVideos!$A$5:$A$154,Creators!A46,RecentVideos!$H$5:$H$154,"TRUE")/COUNTIF(RecentVideos!$A$5:$A$154,Creators!A46)*100,0)</f>
        <v/>
      </c>
      <c r="J55" s="82">
        <f>ROUND(D55*'Feature benchmarks'!$B$38+E55*'Feature benchmarks'!$B$39+F55*'Feature benchmarks'!$B$40+G55*'Feature benchmarks'!$B$41+H55*'Feature benchmarks'!$B$42+I55*'Feature benchmarks'!$B$43,1)</f>
        <v/>
      </c>
    </row>
    <row r="56">
      <c r="A56" s="65">
        <f>Creators!B47</f>
        <v/>
      </c>
      <c r="B56" s="65">
        <f>Creators!D47</f>
        <v/>
      </c>
      <c r="C56" s="65">
        <f>Creators!E47</f>
        <v/>
      </c>
      <c r="D56" s="81">
        <f>INDEX('Feature benchmarks'!$B$14:$B$24,MATCH(B56,'Feature benchmarks'!$A$14:$A$24,0))</f>
        <v/>
      </c>
      <c r="E56" s="81">
        <f>MIN(100,ROUND(Creators!H47/INDEX('Feature benchmarks'!$C$6:$C$8,MATCH(C56,'Feature benchmarks'!$A$6:$A$8,0))*70,0))</f>
        <v/>
      </c>
      <c r="F56" s="81">
        <f>40+INDEX('Feature benchmarks'!$B$30:$B$34,MATCH(Creators!L47,'Feature benchmarks'!$A$30:$A$34,0))+IF(Creators!N47=$B$7,25,10)</f>
        <v/>
      </c>
      <c r="G56" s="81">
        <f>MIN(100,ROUND(INDEX('Feature benchmarks'!$F$6:$F$8,MATCH(C56,'Feature benchmarks'!$A$6:$A$8,0))/Creators!T47*70,0))</f>
        <v/>
      </c>
      <c r="H56" s="81">
        <f>Creators!K47</f>
        <v/>
      </c>
      <c r="I56" s="81">
        <f>ROUND(100-COUNTIFS(RecentVideos!$A$5:$A$154,Creators!A47,RecentVideos!$H$5:$H$154,"TRUE")/COUNTIF(RecentVideos!$A$5:$A$154,Creators!A47)*100,0)</f>
        <v/>
      </c>
      <c r="J56" s="82">
        <f>ROUND(D56*'Feature benchmarks'!$B$38+E56*'Feature benchmarks'!$B$39+F56*'Feature benchmarks'!$B$40+G56*'Feature benchmarks'!$B$41+H56*'Feature benchmarks'!$B$42+I56*'Feature benchmarks'!$B$43,1)</f>
        <v/>
      </c>
    </row>
    <row r="57">
      <c r="A57" s="65">
        <f>Creators!B48</f>
        <v/>
      </c>
      <c r="B57" s="65">
        <f>Creators!D48</f>
        <v/>
      </c>
      <c r="C57" s="65">
        <f>Creators!E48</f>
        <v/>
      </c>
      <c r="D57" s="81">
        <f>INDEX('Feature benchmarks'!$B$14:$B$24,MATCH(B57,'Feature benchmarks'!$A$14:$A$24,0))</f>
        <v/>
      </c>
      <c r="E57" s="81">
        <f>MIN(100,ROUND(Creators!H48/INDEX('Feature benchmarks'!$C$6:$C$8,MATCH(C57,'Feature benchmarks'!$A$6:$A$8,0))*70,0))</f>
        <v/>
      </c>
      <c r="F57" s="81">
        <f>40+INDEX('Feature benchmarks'!$B$30:$B$34,MATCH(Creators!L48,'Feature benchmarks'!$A$30:$A$34,0))+IF(Creators!N48=$B$7,25,10)</f>
        <v/>
      </c>
      <c r="G57" s="81">
        <f>MIN(100,ROUND(INDEX('Feature benchmarks'!$F$6:$F$8,MATCH(C57,'Feature benchmarks'!$A$6:$A$8,0))/Creators!T48*70,0))</f>
        <v/>
      </c>
      <c r="H57" s="81">
        <f>Creators!K48</f>
        <v/>
      </c>
      <c r="I57" s="81">
        <f>ROUND(100-COUNTIFS(RecentVideos!$A$5:$A$154,Creators!A48,RecentVideos!$H$5:$H$154,"TRUE")/COUNTIF(RecentVideos!$A$5:$A$154,Creators!A48)*100,0)</f>
        <v/>
      </c>
      <c r="J57" s="82">
        <f>ROUND(D57*'Feature benchmarks'!$B$38+E57*'Feature benchmarks'!$B$39+F57*'Feature benchmarks'!$B$40+G57*'Feature benchmarks'!$B$41+H57*'Feature benchmarks'!$B$42+I57*'Feature benchmarks'!$B$43,1)</f>
        <v/>
      </c>
    </row>
    <row r="58">
      <c r="A58" s="65">
        <f>Creators!B49</f>
        <v/>
      </c>
      <c r="B58" s="65">
        <f>Creators!D49</f>
        <v/>
      </c>
      <c r="C58" s="65">
        <f>Creators!E49</f>
        <v/>
      </c>
      <c r="D58" s="81">
        <f>INDEX('Feature benchmarks'!$B$14:$B$24,MATCH(B58,'Feature benchmarks'!$A$14:$A$24,0))</f>
        <v/>
      </c>
      <c r="E58" s="81">
        <f>MIN(100,ROUND(Creators!H49/INDEX('Feature benchmarks'!$C$6:$C$8,MATCH(C58,'Feature benchmarks'!$A$6:$A$8,0))*70,0))</f>
        <v/>
      </c>
      <c r="F58" s="81">
        <f>40+INDEX('Feature benchmarks'!$B$30:$B$34,MATCH(Creators!L49,'Feature benchmarks'!$A$30:$A$34,0))+IF(Creators!N49=$B$7,25,10)</f>
        <v/>
      </c>
      <c r="G58" s="81">
        <f>MIN(100,ROUND(INDEX('Feature benchmarks'!$F$6:$F$8,MATCH(C58,'Feature benchmarks'!$A$6:$A$8,0))/Creators!T49*70,0))</f>
        <v/>
      </c>
      <c r="H58" s="81">
        <f>Creators!K49</f>
        <v/>
      </c>
      <c r="I58" s="81">
        <f>ROUND(100-COUNTIFS(RecentVideos!$A$5:$A$154,Creators!A49,RecentVideos!$H$5:$H$154,"TRUE")/COUNTIF(RecentVideos!$A$5:$A$154,Creators!A49)*100,0)</f>
        <v/>
      </c>
      <c r="J58" s="82">
        <f>ROUND(D58*'Feature benchmarks'!$B$38+E58*'Feature benchmarks'!$B$39+F58*'Feature benchmarks'!$B$40+G58*'Feature benchmarks'!$B$41+H58*'Feature benchmarks'!$B$42+I58*'Feature benchmarks'!$B$43,1)</f>
        <v/>
      </c>
    </row>
    <row r="59">
      <c r="A59" s="65">
        <f>Creators!B50</f>
        <v/>
      </c>
      <c r="B59" s="65">
        <f>Creators!D50</f>
        <v/>
      </c>
      <c r="C59" s="65">
        <f>Creators!E50</f>
        <v/>
      </c>
      <c r="D59" s="81">
        <f>INDEX('Feature benchmarks'!$B$14:$B$24,MATCH(B59,'Feature benchmarks'!$A$14:$A$24,0))</f>
        <v/>
      </c>
      <c r="E59" s="81">
        <f>MIN(100,ROUND(Creators!H50/INDEX('Feature benchmarks'!$C$6:$C$8,MATCH(C59,'Feature benchmarks'!$A$6:$A$8,0))*70,0))</f>
        <v/>
      </c>
      <c r="F59" s="81">
        <f>40+INDEX('Feature benchmarks'!$B$30:$B$34,MATCH(Creators!L50,'Feature benchmarks'!$A$30:$A$34,0))+IF(Creators!N50=$B$7,25,10)</f>
        <v/>
      </c>
      <c r="G59" s="81">
        <f>MIN(100,ROUND(INDEX('Feature benchmarks'!$F$6:$F$8,MATCH(C59,'Feature benchmarks'!$A$6:$A$8,0))/Creators!T50*70,0))</f>
        <v/>
      </c>
      <c r="H59" s="81">
        <f>Creators!K50</f>
        <v/>
      </c>
      <c r="I59" s="81">
        <f>ROUND(100-COUNTIFS(RecentVideos!$A$5:$A$154,Creators!A50,RecentVideos!$H$5:$H$154,"TRUE")/COUNTIF(RecentVideos!$A$5:$A$154,Creators!A50)*100,0)</f>
        <v/>
      </c>
      <c r="J59" s="82">
        <f>ROUND(D59*'Feature benchmarks'!$B$38+E59*'Feature benchmarks'!$B$39+F59*'Feature benchmarks'!$B$40+G59*'Feature benchmarks'!$B$41+H59*'Feature benchmarks'!$B$42+I59*'Feature benchmarks'!$B$43,1)</f>
        <v/>
      </c>
    </row>
    <row r="60">
      <c r="A60" s="65">
        <f>Creators!B51</f>
        <v/>
      </c>
      <c r="B60" s="65">
        <f>Creators!D51</f>
        <v/>
      </c>
      <c r="C60" s="65">
        <f>Creators!E51</f>
        <v/>
      </c>
      <c r="D60" s="81">
        <f>INDEX('Feature benchmarks'!$B$14:$B$24,MATCH(B60,'Feature benchmarks'!$A$14:$A$24,0))</f>
        <v/>
      </c>
      <c r="E60" s="81">
        <f>MIN(100,ROUND(Creators!H51/INDEX('Feature benchmarks'!$C$6:$C$8,MATCH(C60,'Feature benchmarks'!$A$6:$A$8,0))*70,0))</f>
        <v/>
      </c>
      <c r="F60" s="81">
        <f>40+INDEX('Feature benchmarks'!$B$30:$B$34,MATCH(Creators!L51,'Feature benchmarks'!$A$30:$A$34,0))+IF(Creators!N51=$B$7,25,10)</f>
        <v/>
      </c>
      <c r="G60" s="81">
        <f>MIN(100,ROUND(INDEX('Feature benchmarks'!$F$6:$F$8,MATCH(C60,'Feature benchmarks'!$A$6:$A$8,0))/Creators!T51*70,0))</f>
        <v/>
      </c>
      <c r="H60" s="81">
        <f>Creators!K51</f>
        <v/>
      </c>
      <c r="I60" s="81">
        <f>ROUND(100-COUNTIFS(RecentVideos!$A$5:$A$154,Creators!A51,RecentVideos!$H$5:$H$154,"TRUE")/COUNTIF(RecentVideos!$A$5:$A$154,Creators!A51)*100,0)</f>
        <v/>
      </c>
      <c r="J60" s="82">
        <f>ROUND(D60*'Feature benchmarks'!$B$38+E60*'Feature benchmarks'!$B$39+F60*'Feature benchmarks'!$B$40+G60*'Feature benchmarks'!$B$41+H60*'Feature benchmarks'!$B$42+I60*'Feature benchmarks'!$B$43,1)</f>
        <v/>
      </c>
    </row>
    <row r="61">
      <c r="A61" s="65">
        <f>Creators!B52</f>
        <v/>
      </c>
      <c r="B61" s="65">
        <f>Creators!D52</f>
        <v/>
      </c>
      <c r="C61" s="65">
        <f>Creators!E52</f>
        <v/>
      </c>
      <c r="D61" s="81">
        <f>INDEX('Feature benchmarks'!$B$14:$B$24,MATCH(B61,'Feature benchmarks'!$A$14:$A$24,0))</f>
        <v/>
      </c>
      <c r="E61" s="81">
        <f>MIN(100,ROUND(Creators!H52/INDEX('Feature benchmarks'!$C$6:$C$8,MATCH(C61,'Feature benchmarks'!$A$6:$A$8,0))*70,0))</f>
        <v/>
      </c>
      <c r="F61" s="81">
        <f>40+INDEX('Feature benchmarks'!$B$30:$B$34,MATCH(Creators!L52,'Feature benchmarks'!$A$30:$A$34,0))+IF(Creators!N52=$B$7,25,10)</f>
        <v/>
      </c>
      <c r="G61" s="81">
        <f>MIN(100,ROUND(INDEX('Feature benchmarks'!$F$6:$F$8,MATCH(C61,'Feature benchmarks'!$A$6:$A$8,0))/Creators!T52*70,0))</f>
        <v/>
      </c>
      <c r="H61" s="81">
        <f>Creators!K52</f>
        <v/>
      </c>
      <c r="I61" s="81">
        <f>ROUND(100-COUNTIFS(RecentVideos!$A$5:$A$154,Creators!A52,RecentVideos!$H$5:$H$154,"TRUE")/COUNTIF(RecentVideos!$A$5:$A$154,Creators!A52)*100,0)</f>
        <v/>
      </c>
      <c r="J61" s="82">
        <f>ROUND(D61*'Feature benchmarks'!$B$38+E61*'Feature benchmarks'!$B$39+F61*'Feature benchmarks'!$B$40+G61*'Feature benchmarks'!$B$41+H61*'Feature benchmarks'!$B$42+I61*'Feature benchmarks'!$B$43,1)</f>
        <v/>
      </c>
    </row>
    <row r="62">
      <c r="A62" s="65">
        <f>Creators!B53</f>
        <v/>
      </c>
      <c r="B62" s="65">
        <f>Creators!D53</f>
        <v/>
      </c>
      <c r="C62" s="65">
        <f>Creators!E53</f>
        <v/>
      </c>
      <c r="D62" s="81">
        <f>INDEX('Feature benchmarks'!$B$14:$B$24,MATCH(B62,'Feature benchmarks'!$A$14:$A$24,0))</f>
        <v/>
      </c>
      <c r="E62" s="81">
        <f>MIN(100,ROUND(Creators!H53/INDEX('Feature benchmarks'!$C$6:$C$8,MATCH(C62,'Feature benchmarks'!$A$6:$A$8,0))*70,0))</f>
        <v/>
      </c>
      <c r="F62" s="81">
        <f>40+INDEX('Feature benchmarks'!$B$30:$B$34,MATCH(Creators!L53,'Feature benchmarks'!$A$30:$A$34,0))+IF(Creators!N53=$B$7,25,10)</f>
        <v/>
      </c>
      <c r="G62" s="81">
        <f>MIN(100,ROUND(INDEX('Feature benchmarks'!$F$6:$F$8,MATCH(C62,'Feature benchmarks'!$A$6:$A$8,0))/Creators!T53*70,0))</f>
        <v/>
      </c>
      <c r="H62" s="81">
        <f>Creators!K53</f>
        <v/>
      </c>
      <c r="I62" s="81">
        <f>ROUND(100-COUNTIFS(RecentVideos!$A$5:$A$154,Creators!A53,RecentVideos!$H$5:$H$154,"TRUE")/COUNTIF(RecentVideos!$A$5:$A$154,Creators!A53)*100,0)</f>
        <v/>
      </c>
      <c r="J62" s="82">
        <f>ROUND(D62*'Feature benchmarks'!$B$38+E62*'Feature benchmarks'!$B$39+F62*'Feature benchmarks'!$B$40+G62*'Feature benchmarks'!$B$41+H62*'Feature benchmarks'!$B$42+I62*'Feature benchmarks'!$B$43,1)</f>
        <v/>
      </c>
    </row>
    <row r="63">
      <c r="A63" s="65">
        <f>Creators!B54</f>
        <v/>
      </c>
      <c r="B63" s="65">
        <f>Creators!D54</f>
        <v/>
      </c>
      <c r="C63" s="65">
        <f>Creators!E54</f>
        <v/>
      </c>
      <c r="D63" s="81">
        <f>INDEX('Feature benchmarks'!$B$14:$B$24,MATCH(B63,'Feature benchmarks'!$A$14:$A$24,0))</f>
        <v/>
      </c>
      <c r="E63" s="81">
        <f>MIN(100,ROUND(Creators!H54/INDEX('Feature benchmarks'!$C$6:$C$8,MATCH(C63,'Feature benchmarks'!$A$6:$A$8,0))*70,0))</f>
        <v/>
      </c>
      <c r="F63" s="81">
        <f>40+INDEX('Feature benchmarks'!$B$30:$B$34,MATCH(Creators!L54,'Feature benchmarks'!$A$30:$A$34,0))+IF(Creators!N54=$B$7,25,10)</f>
        <v/>
      </c>
      <c r="G63" s="81">
        <f>MIN(100,ROUND(INDEX('Feature benchmarks'!$F$6:$F$8,MATCH(C63,'Feature benchmarks'!$A$6:$A$8,0))/Creators!T54*70,0))</f>
        <v/>
      </c>
      <c r="H63" s="81">
        <f>Creators!K54</f>
        <v/>
      </c>
      <c r="I63" s="81">
        <f>ROUND(100-COUNTIFS(RecentVideos!$A$5:$A$154,Creators!A54,RecentVideos!$H$5:$H$154,"TRUE")/COUNTIF(RecentVideos!$A$5:$A$154,Creators!A54)*100,0)</f>
        <v/>
      </c>
      <c r="J63" s="82">
        <f>ROUND(D63*'Feature benchmarks'!$B$38+E63*'Feature benchmarks'!$B$39+F63*'Feature benchmarks'!$B$40+G63*'Feature benchmarks'!$B$41+H63*'Feature benchmarks'!$B$42+I63*'Feature benchmarks'!$B$43,1)</f>
        <v/>
      </c>
    </row>
    <row r="65">
      <c r="A65" s="58" t="inlineStr">
        <is>
          <t>Sanity check on the model: the two creators with the largest audiences should NOT automatically top this list, and a small, sharply-matched creator should be able to beat them. If that never happens, the weights are just re-ranking by follower count.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39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37" min="1" max="1"/>
  </cols>
  <sheetData>
    <row r="1" ht="17.35" customHeight="1" s="38">
      <c r="A1" s="39" t="inlineStr">
        <is>
          <t>Paste-ready data for mockData.js</t>
        </is>
      </c>
    </row>
    <row r="2" ht="30" customHeight="1" s="38">
      <c r="A2" s="71" t="inlineStr">
        <is>
          <t>Copy column A below and paste it straight into src/lib/mockData.js. Check the key names against the existing file first - if they differ, rename them here rather than changing the components.</t>
        </is>
      </c>
    </row>
    <row r="4" ht="15" customHeight="1" s="38">
      <c r="A4" s="84" t="inlineStr">
        <is>
          <t>export const creators = [</t>
        </is>
      </c>
    </row>
    <row r="5" ht="15" customHeight="1" s="38">
      <c r="A5" s="84" t="inlineStr">
        <is>
          <t xml:space="preserve">  {</t>
        </is>
      </c>
    </row>
    <row r="6" ht="15" customHeight="1" s="38">
      <c r="A6" s="84" t="inlineStr">
        <is>
          <t xml:space="preserve">    "id": "maya-chen",</t>
        </is>
      </c>
    </row>
    <row r="7" ht="15" customHeight="1" s="38">
      <c r="A7" s="84" t="inlineStr">
        <is>
          <t xml:space="preserve">    "name": "Maya Chen",</t>
        </is>
      </c>
    </row>
    <row r="8" ht="15" customHeight="1" s="38">
      <c r="A8" s="84" t="inlineStr">
        <is>
          <t xml:space="preserve">    "handle": "@mayaeats",</t>
        </is>
      </c>
    </row>
    <row r="9" ht="15" customHeight="1" s="38">
      <c r="A9" s="84" t="inlineStr">
        <is>
          <t xml:space="preserve">    "category": "Food &amp; Beverage",</t>
        </is>
      </c>
    </row>
    <row r="10" ht="15" customHeight="1" s="38">
      <c r="A10" s="84" t="inlineStr">
        <is>
          <t xml:space="preserve">    "tier": "Micro",</t>
        </is>
      </c>
    </row>
    <row r="11" ht="15" customHeight="1" s="38">
      <c r="A11" s="84" t="inlineStr">
        <is>
          <t xml:space="preserve">    "subscribers": 84000,</t>
        </is>
      </c>
    </row>
    <row r="12" ht="15" customHeight="1" s="38">
      <c r="A12" s="84" t="inlineStr">
        <is>
          <t xml:space="preserve">    "avgViews": 41000,</t>
        </is>
      </c>
    </row>
    <row r="13" ht="15" customHeight="1" s="38">
      <c r="A13" s="84" t="inlineStr">
        <is>
          <t xml:space="preserve">    "engagementRate": 0.072,</t>
        </is>
      </c>
    </row>
    <row r="14" ht="15" customHeight="1" s="38">
      <c r="A14" s="84" t="inlineStr">
        <is>
          <t xml:space="preserve">    "channelVerified": true,</t>
        </is>
      </c>
    </row>
    <row r="15" ht="15" customHeight="1" s="38">
      <c r="A15" s="84" t="inlineStr">
        <is>
          <t xml:space="preserve">    "safetyScore": 96,</t>
        </is>
      </c>
    </row>
    <row r="16" ht="15" customHeight="1" s="38">
      <c r="A16" s="84" t="inlineStr">
        <is>
          <t xml:space="preserve">    "audienceAge": "25-34",</t>
        </is>
      </c>
    </row>
    <row r="17" ht="15" customHeight="1" s="38">
      <c r="A17" s="84" t="inlineStr">
        <is>
          <t xml:space="preserve">    "audienceGender": "61% F",</t>
        </is>
      </c>
    </row>
    <row r="18" ht="15" customHeight="1" s="38">
      <c r="A18" s="84" t="inlineStr">
        <is>
          <t xml:space="preserve">    "topCountry": "US",</t>
        </is>
      </c>
    </row>
    <row r="19" ht="15" customHeight="1" s="38">
      <c r="A19" s="84" t="inlineStr">
        <is>
          <t xml:space="preserve">    "uploadCadence": "2 / week",</t>
        </is>
      </c>
    </row>
    <row r="20" ht="15" customHeight="1" s="38">
      <c r="A20" s="84" t="inlineStr">
        <is>
          <t xml:space="preserve">    "avgLengthMin": 12,</t>
        </is>
      </c>
    </row>
    <row r="21" ht="15" customHeight="1" s="38">
      <c r="A21" s="84" t="inlineStr">
        <is>
          <t xml:space="preserve">    "rates": {</t>
        </is>
      </c>
    </row>
    <row r="22" ht="15" customHeight="1" s="38">
      <c r="A22" s="84" t="inlineStr">
        <is>
          <t xml:space="preserve">      "integrated": 1200,</t>
        </is>
      </c>
    </row>
    <row r="23" ht="15" customHeight="1" s="38">
      <c r="A23" s="84" t="inlineStr">
        <is>
          <t xml:space="preserve">      "dedicated": 2500,</t>
        </is>
      </c>
    </row>
    <row r="24" ht="15" customHeight="1" s="38">
      <c r="A24" s="84" t="inlineStr">
        <is>
          <t xml:space="preserve">      "short": 600</t>
        </is>
      </c>
    </row>
    <row r="25" ht="15" customHeight="1" s="38">
      <c r="A25" s="84" t="inlineStr">
        <is>
          <t xml:space="preserve">    },</t>
        </is>
      </c>
    </row>
    <row r="26" ht="15" customHeight="1" s="38">
      <c r="A26" s="84" t="inlineStr">
        <is>
          <t xml:space="preserve">    "avatarInitials": "MC",</t>
        </is>
      </c>
    </row>
    <row r="27" ht="15" customHeight="1" s="38">
      <c r="A27" s="84" t="inlineStr">
        <is>
          <t xml:space="preserve">    "avatarColor": "#C0392B",</t>
        </is>
      </c>
    </row>
    <row r="28" ht="15" customHeight="1" s="38">
      <c r="A28" s="84" t="inlineStr">
        <is>
          <t xml:space="preserve">    "bio": "Grocery-aisle taste tests and honest pantry cooking for people who cook on weeknights.",</t>
        </is>
      </c>
    </row>
    <row r="29" ht="15" customHeight="1" s="38">
      <c r="A29" s="84" t="inlineStr">
        <is>
          <t xml:space="preserve">    "languages": [</t>
        </is>
      </c>
    </row>
    <row r="30" ht="15" customHeight="1" s="38">
      <c r="A30" s="84" t="inlineStr">
        <is>
          <t xml:space="preserve">      "English"</t>
        </is>
      </c>
    </row>
    <row r="31" ht="15" customHeight="1" s="38">
      <c r="A31" s="84" t="inlineStr">
        <is>
          <t xml:space="preserve">    ],</t>
        </is>
      </c>
    </row>
    <row r="32" ht="15" customHeight="1" s="38">
      <c r="A32" s="84" t="inlineStr">
        <is>
          <t xml:space="preserve">    "formatsOffered": [</t>
        </is>
      </c>
    </row>
    <row r="33" ht="15" customHeight="1" s="38">
      <c r="A33" s="84" t="inlineStr">
        <is>
          <t xml:space="preserve">      "Integrated",</t>
        </is>
      </c>
    </row>
    <row r="34" ht="15" customHeight="1" s="38">
      <c r="A34" s="84" t="inlineStr">
        <is>
          <t xml:space="preserve">      "Dedicated",</t>
        </is>
      </c>
    </row>
    <row r="35" ht="15" customHeight="1" s="38">
      <c r="A35" s="84" t="inlineStr">
        <is>
          <t xml:space="preserve">      "Short"</t>
        </is>
      </c>
    </row>
    <row r="36" ht="15" customHeight="1" s="38">
      <c r="A36" s="84" t="inlineStr">
        <is>
          <t xml:space="preserve">    ],</t>
        </is>
      </c>
    </row>
    <row r="37" ht="15" customHeight="1" s="38">
      <c r="A37" s="84" t="inlineStr">
        <is>
          <t xml:space="preserve">    "turnaroundDays": 10,</t>
        </is>
      </c>
    </row>
    <row r="38" ht="15" customHeight="1" s="38">
      <c r="A38" s="84" t="inlineStr">
        <is>
          <t xml:space="preserve">    "workedWith": [</t>
        </is>
      </c>
    </row>
    <row r="39" ht="15" customHeight="1" s="38">
      <c r="A39" s="84" t="inlineStr">
        <is>
          <t xml:space="preserve">      "Food &amp; Beverage",</t>
        </is>
      </c>
    </row>
    <row r="40" ht="15" customHeight="1" s="38">
      <c r="A40" s="84" t="inlineStr">
        <is>
          <t xml:space="preserve">      "Kitchenware"</t>
        </is>
      </c>
    </row>
    <row r="41" ht="15" customHeight="1" s="38">
      <c r="A41" s="84" t="inlineStr">
        <is>
          <t xml:space="preserve">    ],</t>
        </is>
      </c>
    </row>
    <row r="42" ht="15" customHeight="1" s="38">
      <c r="A42" s="84" t="inlineStr">
        <is>
          <t xml:space="preserve">    "recentVideos": [</t>
        </is>
      </c>
    </row>
    <row r="43" ht="15" customHeight="1" s="38">
      <c r="A43" s="84" t="inlineStr">
        <is>
          <t xml:space="preserve">      {</t>
        </is>
      </c>
    </row>
    <row r="44" ht="15" customHeight="1" s="38">
      <c r="A44" s="84" t="inlineStr">
        <is>
          <t xml:space="preserve">        "title": "I Tried 6 Grocery-Store Olive Oils - Blind Taste Test",</t>
        </is>
      </c>
    </row>
    <row r="45" ht="15" customHeight="1" s="38">
      <c r="A45" s="84" t="inlineStr">
        <is>
          <t xml:space="preserve">        "daysAgo": 8,</t>
        </is>
      </c>
    </row>
    <row r="46" ht="15" customHeight="1" s="38">
      <c r="A46" s="84" t="inlineStr">
        <is>
          <t xml:space="preserve">        "views": 52000,</t>
        </is>
      </c>
    </row>
    <row r="47" ht="15" customHeight="1" s="38">
      <c r="A47" s="84" t="inlineStr">
        <is>
          <t xml:space="preserve">        "likes": 3900,</t>
        </is>
      </c>
    </row>
    <row r="48" ht="15" customHeight="1" s="38">
      <c r="A48" s="84" t="inlineStr">
        <is>
          <t xml:space="preserve">        "comments": 410,</t>
        </is>
      </c>
    </row>
    <row r="49" ht="15" customHeight="1" s="38">
      <c r="A49" s="84" t="inlineStr">
        <is>
          <t xml:space="preserve">        "hadSponsor": false,</t>
        </is>
      </c>
    </row>
    <row r="50" ht="15" customHeight="1" s="38">
      <c r="A50" s="84" t="inlineStr">
        <is>
          <t xml:space="preserve">        "topicTags": [</t>
        </is>
      </c>
    </row>
    <row r="51" ht="15" customHeight="1" s="38">
      <c r="A51" s="84" t="inlineStr">
        <is>
          <t xml:space="preserve">          "taste-test",</t>
        </is>
      </c>
    </row>
    <row r="52" ht="15" customHeight="1" s="38">
      <c r="A52" s="84" t="inlineStr">
        <is>
          <t xml:space="preserve">          "pantry",</t>
        </is>
      </c>
    </row>
    <row r="53" ht="15" customHeight="1" s="38">
      <c r="A53" s="84" t="inlineStr">
        <is>
          <t xml:space="preserve">          "comparison"</t>
        </is>
      </c>
    </row>
    <row r="54" ht="15" customHeight="1" s="38">
      <c r="A54" s="84" t="inlineStr">
        <is>
          <t xml:space="preserve">        ]</t>
        </is>
      </c>
    </row>
    <row r="55" ht="15" customHeight="1" s="38">
      <c r="A55" s="84" t="inlineStr">
        <is>
          <t xml:space="preserve">      },</t>
        </is>
      </c>
    </row>
    <row r="56" ht="15" customHeight="1" s="38">
      <c r="A56" s="84" t="inlineStr">
        <is>
          <t xml:space="preserve">      {</t>
        </is>
      </c>
    </row>
    <row r="57" ht="15" customHeight="1" s="38">
      <c r="A57" s="84" t="inlineStr">
        <is>
          <t xml:space="preserve">        "title": "The $9 Pantry Dinner I Make Every Week",</t>
        </is>
      </c>
    </row>
    <row r="58" ht="15" customHeight="1" s="38">
      <c r="A58" s="84" t="inlineStr">
        <is>
          <t xml:space="preserve">        "daysAgo": 17,</t>
        </is>
      </c>
    </row>
    <row r="59" ht="15" customHeight="1" s="38">
      <c r="A59" s="84" t="inlineStr">
        <is>
          <t xml:space="preserve">        "views": 38000,</t>
        </is>
      </c>
    </row>
    <row r="60" ht="15" customHeight="1" s="38">
      <c r="A60" s="84" t="inlineStr">
        <is>
          <t xml:space="preserve">        "likes": 2800,</t>
        </is>
      </c>
    </row>
    <row r="61" ht="15" customHeight="1" s="38">
      <c r="A61" s="84" t="inlineStr">
        <is>
          <t xml:space="preserve">        "comments": 290,</t>
        </is>
      </c>
    </row>
    <row r="62" ht="15" customHeight="1" s="38">
      <c r="A62" s="84" t="inlineStr">
        <is>
          <t xml:space="preserve">        "hadSponsor": true,</t>
        </is>
      </c>
    </row>
    <row r="63" ht="15" customHeight="1" s="38">
      <c r="A63" s="84" t="inlineStr">
        <is>
          <t xml:space="preserve">        "topicTags": [</t>
        </is>
      </c>
    </row>
    <row r="64" ht="15" customHeight="1" s="38">
      <c r="A64" s="84" t="inlineStr">
        <is>
          <t xml:space="preserve">          "budget",</t>
        </is>
      </c>
    </row>
    <row r="65" ht="15" customHeight="1" s="38">
      <c r="A65" s="84" t="inlineStr">
        <is>
          <t xml:space="preserve">          "weeknight",</t>
        </is>
      </c>
    </row>
    <row r="66" ht="15" customHeight="1" s="38">
      <c r="A66" s="84" t="inlineStr">
        <is>
          <t xml:space="preserve">          "recipe"</t>
        </is>
      </c>
    </row>
    <row r="67" ht="15" customHeight="1" s="38">
      <c r="A67" s="84" t="inlineStr">
        <is>
          <t xml:space="preserve">        ]</t>
        </is>
      </c>
    </row>
    <row r="68" ht="15" customHeight="1" s="38">
      <c r="A68" s="84" t="inlineStr">
        <is>
          <t xml:space="preserve">      },</t>
        </is>
      </c>
    </row>
    <row r="69" ht="15" customHeight="1" s="38">
      <c r="A69" s="84" t="inlineStr">
        <is>
          <t xml:space="preserve">      {</t>
        </is>
      </c>
    </row>
    <row r="70" ht="15" customHeight="1" s="38">
      <c r="A70" s="84" t="inlineStr">
        <is>
          <t xml:space="preserve">        "title": "Why Your Cold Brew Tastes Bitter (3 Fixes)",</t>
        </is>
      </c>
    </row>
    <row r="71" ht="15" customHeight="1" s="38">
      <c r="A71" s="84" t="inlineStr">
        <is>
          <t xml:space="preserve">        "daysAgo": 26,</t>
        </is>
      </c>
    </row>
    <row r="72" ht="15" customHeight="1" s="38">
      <c r="A72" s="84" t="inlineStr">
        <is>
          <t xml:space="preserve">        "views": 44000,</t>
        </is>
      </c>
    </row>
    <row r="73" ht="15" customHeight="1" s="38">
      <c r="A73" s="84" t="inlineStr">
        <is>
          <t xml:space="preserve">        "likes": 3300,</t>
        </is>
      </c>
    </row>
    <row r="74" ht="15" customHeight="1" s="38">
      <c r="A74" s="84" t="inlineStr">
        <is>
          <t xml:space="preserve">        "comments": 355,</t>
        </is>
      </c>
    </row>
    <row r="75" ht="15" customHeight="1" s="38">
      <c r="A75" s="84" t="inlineStr">
        <is>
          <t xml:space="preserve">        "hadSponsor": false,</t>
        </is>
      </c>
    </row>
    <row r="76" ht="15" customHeight="1" s="38">
      <c r="A76" s="84" t="inlineStr">
        <is>
          <t xml:space="preserve">        "topicTags": [</t>
        </is>
      </c>
    </row>
    <row r="77" ht="15" customHeight="1" s="38">
      <c r="A77" s="84" t="inlineStr">
        <is>
          <t xml:space="preserve">          "coffee",</t>
        </is>
      </c>
    </row>
    <row r="78" ht="15" customHeight="1" s="38">
      <c r="A78" s="84" t="inlineStr">
        <is>
          <t xml:space="preserve">          "technique",</t>
        </is>
      </c>
    </row>
    <row r="79" ht="15" customHeight="1" s="38">
      <c r="A79" s="84" t="inlineStr">
        <is>
          <t xml:space="preserve">          "troubleshooting"</t>
        </is>
      </c>
    </row>
    <row r="80" ht="15" customHeight="1" s="38">
      <c r="A80" s="84" t="inlineStr">
        <is>
          <t xml:space="preserve">        ]</t>
        </is>
      </c>
    </row>
    <row r="81" ht="15" customHeight="1" s="38">
      <c r="A81" s="84" t="inlineStr">
        <is>
          <t xml:space="preserve">      }</t>
        </is>
      </c>
    </row>
    <row r="82" ht="15" customHeight="1" s="38">
      <c r="A82" s="84" t="inlineStr">
        <is>
          <t xml:space="preserve">    ]</t>
        </is>
      </c>
    </row>
    <row r="83" ht="15" customHeight="1" s="38">
      <c r="A83" s="84" t="inlineStr">
        <is>
          <t xml:space="preserve">  },</t>
        </is>
      </c>
    </row>
    <row r="84" ht="15" customHeight="1" s="38">
      <c r="A84" s="84" t="inlineStr">
        <is>
          <t xml:space="preserve">  {</t>
        </is>
      </c>
    </row>
    <row r="85" ht="15" customHeight="1" s="38">
      <c r="A85" s="84" t="inlineStr">
        <is>
          <t xml:space="preserve">    "id": "diego-alvarez",</t>
        </is>
      </c>
    </row>
    <row r="86" ht="15" customHeight="1" s="38">
      <c r="A86" s="84" t="inlineStr">
        <is>
          <t xml:space="preserve">    "name": "Diego Alvarez",</t>
        </is>
      </c>
    </row>
    <row r="87" ht="15" customHeight="1" s="38">
      <c r="A87" s="84" t="inlineStr">
        <is>
          <t xml:space="preserve">    "handle": "@diegocooks",</t>
        </is>
      </c>
    </row>
    <row r="88" ht="15" customHeight="1" s="38">
      <c r="A88" s="84" t="inlineStr">
        <is>
          <t xml:space="preserve">    "category": "Cooking",</t>
        </is>
      </c>
    </row>
    <row r="89" ht="15" customHeight="1" s="38">
      <c r="A89" s="84" t="inlineStr">
        <is>
          <t xml:space="preserve">    "tier": "Mid-tier",</t>
        </is>
      </c>
    </row>
    <row r="90" ht="15" customHeight="1" s="38">
      <c r="A90" s="84" t="inlineStr">
        <is>
          <t xml:space="preserve">    "subscribers": 156000,</t>
        </is>
      </c>
    </row>
    <row r="91" ht="15" customHeight="1" s="38">
      <c r="A91" s="84" t="inlineStr">
        <is>
          <t xml:space="preserve">    "avgViews": 62000,</t>
        </is>
      </c>
    </row>
    <row r="92" ht="15" customHeight="1" s="38">
      <c r="A92" s="84" t="inlineStr">
        <is>
          <t xml:space="preserve">    "engagementRate": 0.051,</t>
        </is>
      </c>
    </row>
    <row r="93" ht="15" customHeight="1" s="38">
      <c r="A93" s="84" t="inlineStr">
        <is>
          <t xml:space="preserve">    "channelVerified": true,</t>
        </is>
      </c>
    </row>
    <row r="94" ht="15" customHeight="1" s="38">
      <c r="A94" s="84" t="inlineStr">
        <is>
          <t xml:space="preserve">    "safetyScore": 90,</t>
        </is>
      </c>
    </row>
    <row r="95" ht="15" customHeight="1" s="38">
      <c r="A95" s="84" t="inlineStr">
        <is>
          <t xml:space="preserve">    "audienceAge": "25-44",</t>
        </is>
      </c>
    </row>
    <row r="96" ht="15" customHeight="1" s="38">
      <c r="A96" s="84" t="inlineStr">
        <is>
          <t xml:space="preserve">    "audienceGender": "54% M",</t>
        </is>
      </c>
    </row>
    <row r="97" ht="15" customHeight="1" s="38">
      <c r="A97" s="84" t="inlineStr">
        <is>
          <t xml:space="preserve">    "topCountry": "US",</t>
        </is>
      </c>
    </row>
    <row r="98" ht="15" customHeight="1" s="38">
      <c r="A98" s="84" t="inlineStr">
        <is>
          <t xml:space="preserve">    "uploadCadence": "1 / week",</t>
        </is>
      </c>
    </row>
    <row r="99" ht="15" customHeight="1" s="38">
      <c r="A99" s="84" t="inlineStr">
        <is>
          <t xml:space="preserve">    "avgLengthMin": 18,</t>
        </is>
      </c>
    </row>
    <row r="100" ht="15" customHeight="1" s="38">
      <c r="A100" s="84" t="inlineStr">
        <is>
          <t xml:space="preserve">    "rates": {</t>
        </is>
      </c>
    </row>
    <row r="101" ht="15" customHeight="1" s="38">
      <c r="A101" s="84" t="inlineStr">
        <is>
          <t xml:space="preserve">      "integrated": 1800,</t>
        </is>
      </c>
    </row>
    <row r="102" ht="15" customHeight="1" s="38">
      <c r="A102" s="84" t="inlineStr">
        <is>
          <t xml:space="preserve">      "dedicated": 4200,</t>
        </is>
      </c>
    </row>
    <row r="103" ht="15" customHeight="1" s="38">
      <c r="A103" s="84" t="inlineStr">
        <is>
          <t xml:space="preserve">      "short": 900</t>
        </is>
      </c>
    </row>
    <row r="104" ht="15" customHeight="1" s="38">
      <c r="A104" s="84" t="inlineStr">
        <is>
          <t xml:space="preserve">    },</t>
        </is>
      </c>
    </row>
    <row r="105" ht="15" customHeight="1" s="38">
      <c r="A105" s="84" t="inlineStr">
        <is>
          <t xml:space="preserve">    "avatarInitials": "DA",</t>
        </is>
      </c>
    </row>
    <row r="106" ht="15" customHeight="1" s="38">
      <c r="A106" s="84" t="inlineStr">
        <is>
          <t xml:space="preserve">    "avatarColor": "#27AE60",</t>
        </is>
      </c>
    </row>
    <row r="107" ht="15" customHeight="1" s="38">
      <c r="A107" s="84" t="inlineStr">
        <is>
          <t xml:space="preserve">    "bio": "Restaurant technique translated for a home kitchen, filmed slowly and explained properly.",</t>
        </is>
      </c>
    </row>
    <row r="108" ht="15" customHeight="1" s="38">
      <c r="A108" s="84" t="inlineStr">
        <is>
          <t xml:space="preserve">    "languages": [</t>
        </is>
      </c>
    </row>
    <row r="109" ht="15" customHeight="1" s="38">
      <c r="A109" s="84" t="inlineStr">
        <is>
          <t xml:space="preserve">      "English",</t>
        </is>
      </c>
    </row>
    <row r="110" ht="15" customHeight="1" s="38">
      <c r="A110" s="84" t="inlineStr">
        <is>
          <t xml:space="preserve">      "Spanish"</t>
        </is>
      </c>
    </row>
    <row r="111" ht="15" customHeight="1" s="38">
      <c r="A111" s="84" t="inlineStr">
        <is>
          <t xml:space="preserve">    ],</t>
        </is>
      </c>
    </row>
    <row r="112" ht="15" customHeight="1" s="38">
      <c r="A112" s="84" t="inlineStr">
        <is>
          <t xml:space="preserve">    "formatsOffered": [</t>
        </is>
      </c>
    </row>
    <row r="113" ht="15" customHeight="1" s="38">
      <c r="A113" s="84" t="inlineStr">
        <is>
          <t xml:space="preserve">      "Integrated",</t>
        </is>
      </c>
    </row>
    <row r="114" ht="15" customHeight="1" s="38">
      <c r="A114" s="84" t="inlineStr">
        <is>
          <t xml:space="preserve">      "Dedicated"</t>
        </is>
      </c>
    </row>
    <row r="115" ht="15" customHeight="1" s="38">
      <c r="A115" s="84" t="inlineStr">
        <is>
          <t xml:space="preserve">    ],</t>
        </is>
      </c>
    </row>
    <row r="116" ht="15" customHeight="1" s="38">
      <c r="A116" s="84" t="inlineStr">
        <is>
          <t xml:space="preserve">    "turnaroundDays": 14,</t>
        </is>
      </c>
    </row>
    <row r="117" ht="15" customHeight="1" s="38">
      <c r="A117" s="84" t="inlineStr">
        <is>
          <t xml:space="preserve">    "workedWith": [</t>
        </is>
      </c>
    </row>
    <row r="118" ht="15" customHeight="1" s="38">
      <c r="A118" s="84" t="inlineStr">
        <is>
          <t xml:space="preserve">      "Kitchenware",</t>
        </is>
      </c>
    </row>
    <row r="119" ht="15" customHeight="1" s="38">
      <c r="A119" s="84" t="inlineStr">
        <is>
          <t xml:space="preserve">      "Grocery",</t>
        </is>
      </c>
    </row>
    <row r="120" ht="15" customHeight="1" s="38">
      <c r="A120" s="84" t="inlineStr">
        <is>
          <t xml:space="preserve">      "Appliances"</t>
        </is>
      </c>
    </row>
    <row r="121" ht="15" customHeight="1" s="38">
      <c r="A121" s="84" t="inlineStr">
        <is>
          <t xml:space="preserve">    ],</t>
        </is>
      </c>
    </row>
    <row r="122" ht="15" customHeight="1" s="38">
      <c r="A122" s="84" t="inlineStr">
        <is>
          <t xml:space="preserve">    "recentVideos": [</t>
        </is>
      </c>
    </row>
    <row r="123" ht="15" customHeight="1" s="38">
      <c r="A123" s="84" t="inlineStr">
        <is>
          <t xml:space="preserve">      {</t>
        </is>
      </c>
    </row>
    <row r="124" ht="15" customHeight="1" s="38">
      <c r="A124" s="84" t="inlineStr">
        <is>
          <t xml:space="preserve">        "title": "Restaurant-Style Carnitas in a Home Oven",</t>
        </is>
      </c>
    </row>
    <row r="125" ht="15" customHeight="1" s="38">
      <c r="A125" s="84" t="inlineStr">
        <is>
          <t xml:space="preserve">        "daysAgo": 5,</t>
        </is>
      </c>
    </row>
    <row r="126" ht="15" customHeight="1" s="38">
      <c r="A126" s="84" t="inlineStr">
        <is>
          <t xml:space="preserve">        "views": 71000,</t>
        </is>
      </c>
    </row>
    <row r="127" ht="15" customHeight="1" s="38">
      <c r="A127" s="84" t="inlineStr">
        <is>
          <t xml:space="preserve">        "likes": 3600,</t>
        </is>
      </c>
    </row>
    <row r="128" ht="15" customHeight="1" s="38">
      <c r="A128" s="84" t="inlineStr">
        <is>
          <t xml:space="preserve">        "comments": 480,</t>
        </is>
      </c>
    </row>
    <row r="129" ht="15" customHeight="1" s="38">
      <c r="A129" s="84" t="inlineStr">
        <is>
          <t xml:space="preserve">        "hadSponsor": false,</t>
        </is>
      </c>
    </row>
    <row r="130" ht="15" customHeight="1" s="38">
      <c r="A130" s="84" t="inlineStr">
        <is>
          <t xml:space="preserve">        "topicTags": [</t>
        </is>
      </c>
    </row>
    <row r="131" ht="15" customHeight="1" s="38">
      <c r="A131" s="84" t="inlineStr">
        <is>
          <t xml:space="preserve">          "recipe",</t>
        </is>
      </c>
    </row>
    <row r="132" ht="15" customHeight="1" s="38">
      <c r="A132" s="84" t="inlineStr">
        <is>
          <t xml:space="preserve">          "technique",</t>
        </is>
      </c>
    </row>
    <row r="133" ht="15" customHeight="1" s="38">
      <c r="A133" s="84" t="inlineStr">
        <is>
          <t xml:space="preserve">          "mexican"</t>
        </is>
      </c>
    </row>
    <row r="134" ht="15" customHeight="1" s="38">
      <c r="A134" s="84" t="inlineStr">
        <is>
          <t xml:space="preserve">        ]</t>
        </is>
      </c>
    </row>
    <row r="135" ht="15" customHeight="1" s="38">
      <c r="A135" s="84" t="inlineStr">
        <is>
          <t xml:space="preserve">      },</t>
        </is>
      </c>
    </row>
    <row r="136" ht="15" customHeight="1" s="38">
      <c r="A136" s="84" t="inlineStr">
        <is>
          <t xml:space="preserve">      {</t>
        </is>
      </c>
    </row>
    <row r="137" ht="15" customHeight="1" s="38">
      <c r="A137" s="84" t="inlineStr">
        <is>
          <t xml:space="preserve">        "title": "I Cooked Every Recipe From One Cookbook for a Week",</t>
        </is>
      </c>
    </row>
    <row r="138" ht="15" customHeight="1" s="38">
      <c r="A138" s="84" t="inlineStr">
        <is>
          <t xml:space="preserve">        "daysAgo": 14,</t>
        </is>
      </c>
    </row>
    <row r="139" ht="15" customHeight="1" s="38">
      <c r="A139" s="84" t="inlineStr">
        <is>
          <t xml:space="preserve">        "views": 58000,</t>
        </is>
      </c>
    </row>
    <row r="140" ht="15" customHeight="1" s="38">
      <c r="A140" s="84" t="inlineStr">
        <is>
          <t xml:space="preserve">        "likes": 2900,</t>
        </is>
      </c>
    </row>
    <row r="141" ht="15" customHeight="1" s="38">
      <c r="A141" s="84" t="inlineStr">
        <is>
          <t xml:space="preserve">        "comments": 390,</t>
        </is>
      </c>
    </row>
    <row r="142" ht="15" customHeight="1" s="38">
      <c r="A142" s="84" t="inlineStr">
        <is>
          <t xml:space="preserve">        "hadSponsor": false,</t>
        </is>
      </c>
    </row>
    <row r="143" ht="15" customHeight="1" s="38">
      <c r="A143" s="84" t="inlineStr">
        <is>
          <t xml:space="preserve">        "topicTags": [</t>
        </is>
      </c>
    </row>
    <row r="144" ht="15" customHeight="1" s="38">
      <c r="A144" s="84" t="inlineStr">
        <is>
          <t xml:space="preserve">          "challenge",</t>
        </is>
      </c>
    </row>
    <row r="145" ht="15" customHeight="1" s="38">
      <c r="A145" s="84" t="inlineStr">
        <is>
          <t xml:space="preserve">          "cookbook"</t>
        </is>
      </c>
    </row>
    <row r="146" ht="15" customHeight="1" s="38">
      <c r="A146" s="84" t="inlineStr">
        <is>
          <t xml:space="preserve">        ]</t>
        </is>
      </c>
    </row>
    <row r="147" ht="15" customHeight="1" s="38">
      <c r="A147" s="84" t="inlineStr">
        <is>
          <t xml:space="preserve">      },</t>
        </is>
      </c>
    </row>
    <row r="148" ht="15" customHeight="1" s="38">
      <c r="A148" s="84" t="inlineStr">
        <is>
          <t xml:space="preserve">      {</t>
        </is>
      </c>
    </row>
    <row r="149" ht="15" customHeight="1" s="38">
      <c r="A149" s="84" t="inlineStr">
        <is>
          <t xml:space="preserve">        "title": "The Only 5 Knives You Actually Need",</t>
        </is>
      </c>
    </row>
    <row r="150" ht="15" customHeight="1" s="38">
      <c r="A150" s="84" t="inlineStr">
        <is>
          <t xml:space="preserve">        "daysAgo": 23,</t>
        </is>
      </c>
    </row>
    <row r="151" ht="15" customHeight="1" s="38">
      <c r="A151" s="84" t="inlineStr">
        <is>
          <t xml:space="preserve">        "views": 64000,</t>
        </is>
      </c>
    </row>
    <row r="152" ht="15" customHeight="1" s="38">
      <c r="A152" s="84" t="inlineStr">
        <is>
          <t xml:space="preserve">        "likes": 3400,</t>
        </is>
      </c>
    </row>
    <row r="153" ht="15" customHeight="1" s="38">
      <c r="A153" s="84" t="inlineStr">
        <is>
          <t xml:space="preserve">        "comments": 520,</t>
        </is>
      </c>
    </row>
    <row r="154" ht="15" customHeight="1" s="38">
      <c r="A154" s="84" t="inlineStr">
        <is>
          <t xml:space="preserve">        "hadSponsor": true,</t>
        </is>
      </c>
    </row>
    <row r="155" ht="15" customHeight="1" s="38">
      <c r="A155" s="84" t="inlineStr">
        <is>
          <t xml:space="preserve">        "topicTags": [</t>
        </is>
      </c>
    </row>
    <row r="156" ht="15" customHeight="1" s="38">
      <c r="A156" s="84" t="inlineStr">
        <is>
          <t xml:space="preserve">          "gear",</t>
        </is>
      </c>
    </row>
    <row r="157" ht="15" customHeight="1" s="38">
      <c r="A157" s="84" t="inlineStr">
        <is>
          <t xml:space="preserve">          "kitchen-tools",</t>
        </is>
      </c>
    </row>
    <row r="158" ht="15" customHeight="1" s="38">
      <c r="A158" s="84" t="inlineStr">
        <is>
          <t xml:space="preserve">          "buying-guide"</t>
        </is>
      </c>
    </row>
    <row r="159" ht="15" customHeight="1" s="38">
      <c r="A159" s="84" t="inlineStr">
        <is>
          <t xml:space="preserve">        ]</t>
        </is>
      </c>
    </row>
    <row r="160" ht="15" customHeight="1" s="38">
      <c r="A160" s="84" t="inlineStr">
        <is>
          <t xml:space="preserve">      }</t>
        </is>
      </c>
    </row>
    <row r="161" ht="15" customHeight="1" s="38">
      <c r="A161" s="84" t="inlineStr">
        <is>
          <t xml:space="preserve">    ]</t>
        </is>
      </c>
    </row>
    <row r="162" ht="15" customHeight="1" s="38">
      <c r="A162" s="84" t="inlineStr">
        <is>
          <t xml:space="preserve">  },</t>
        </is>
      </c>
    </row>
    <row r="163" ht="15" customHeight="1" s="38">
      <c r="A163" s="84" t="inlineStr">
        <is>
          <t xml:space="preserve">  {</t>
        </is>
      </c>
    </row>
    <row r="164" ht="15" customHeight="1" s="38">
      <c r="A164" s="84" t="inlineStr">
        <is>
          <t xml:space="preserve">    "id": "priya-nair",</t>
        </is>
      </c>
    </row>
    <row r="165" ht="15" customHeight="1" s="38">
      <c r="A165" s="84" t="inlineStr">
        <is>
          <t xml:space="preserve">    "name": "Priya Nair",</t>
        </is>
      </c>
    </row>
    <row r="166" ht="15" customHeight="1" s="38">
      <c r="A166" s="84" t="inlineStr">
        <is>
          <t xml:space="preserve">    "handle": "@priyawellness",</t>
        </is>
      </c>
    </row>
    <row r="167" ht="15" customHeight="1" s="38">
      <c r="A167" s="84" t="inlineStr">
        <is>
          <t xml:space="preserve">    "category": "Health &amp; Lifestyle",</t>
        </is>
      </c>
    </row>
    <row r="168" ht="15" customHeight="1" s="38">
      <c r="A168" s="84" t="inlineStr">
        <is>
          <t xml:space="preserve">    "tier": "Micro",</t>
        </is>
      </c>
    </row>
    <row r="169" ht="15" customHeight="1" s="38">
      <c r="A169" s="84" t="inlineStr">
        <is>
          <t xml:space="preserve">    "subscribers": 22000,</t>
        </is>
      </c>
    </row>
    <row r="170" ht="15" customHeight="1" s="38">
      <c r="A170" s="84" t="inlineStr">
        <is>
          <t xml:space="preserve">    "avgViews": 12000,</t>
        </is>
      </c>
    </row>
    <row r="171" ht="15" customHeight="1" s="38">
      <c r="A171" s="84" t="inlineStr">
        <is>
          <t xml:space="preserve">    "engagementRate": 0.094,</t>
        </is>
      </c>
    </row>
    <row r="172" ht="15" customHeight="1" s="38">
      <c r="A172" s="84" t="inlineStr">
        <is>
          <t xml:space="preserve">    "channelVerified": false,</t>
        </is>
      </c>
    </row>
    <row r="173" ht="15" customHeight="1" s="38">
      <c r="A173" s="84" t="inlineStr">
        <is>
          <t xml:space="preserve">    "safetyScore": 98,</t>
        </is>
      </c>
    </row>
    <row r="174" ht="15" customHeight="1" s="38">
      <c r="A174" s="84" t="inlineStr">
        <is>
          <t xml:space="preserve">    "audienceAge": "25-34",</t>
        </is>
      </c>
    </row>
    <row r="175" ht="15" customHeight="1" s="38">
      <c r="A175" s="84" t="inlineStr">
        <is>
          <t xml:space="preserve">    "audienceGender": "78% F",</t>
        </is>
      </c>
    </row>
    <row r="176" ht="15" customHeight="1" s="38">
      <c r="A176" s="84" t="inlineStr">
        <is>
          <t xml:space="preserve">    "topCountry": "US",</t>
        </is>
      </c>
    </row>
    <row r="177" ht="15" customHeight="1" s="38">
      <c r="A177" s="84" t="inlineStr">
        <is>
          <t xml:space="preserve">    "uploadCadence": "2 / week",</t>
        </is>
      </c>
    </row>
    <row r="178" ht="15" customHeight="1" s="38">
      <c r="A178" s="84" t="inlineStr">
        <is>
          <t xml:space="preserve">    "avgLengthMin": 10,</t>
        </is>
      </c>
    </row>
    <row r="179" ht="15" customHeight="1" s="38">
      <c r="A179" s="84" t="inlineStr">
        <is>
          <t xml:space="preserve">    "rates": {</t>
        </is>
      </c>
    </row>
    <row r="180" ht="15" customHeight="1" s="38">
      <c r="A180" s="84" t="inlineStr">
        <is>
          <t xml:space="preserve">      "integrated": 450,</t>
        </is>
      </c>
    </row>
    <row r="181" ht="15" customHeight="1" s="38">
      <c r="A181" s="84" t="inlineStr">
        <is>
          <t xml:space="preserve">      "dedicated": 900,</t>
        </is>
      </c>
    </row>
    <row r="182" ht="15" customHeight="1" s="38">
      <c r="A182" s="84" t="inlineStr">
        <is>
          <t xml:space="preserve">      "short": 250</t>
        </is>
      </c>
    </row>
    <row r="183" ht="15" customHeight="1" s="38">
      <c r="A183" s="84" t="inlineStr">
        <is>
          <t xml:space="preserve">    },</t>
        </is>
      </c>
    </row>
    <row r="184" ht="15" customHeight="1" s="38">
      <c r="A184" s="84" t="inlineStr">
        <is>
          <t xml:space="preserve">    "avatarInitials": "PN",</t>
        </is>
      </c>
    </row>
    <row r="185" ht="15" customHeight="1" s="38">
      <c r="A185" s="84" t="inlineStr">
        <is>
          <t xml:space="preserve">    "avatarColor": "#6C3FC5",</t>
        </is>
      </c>
    </row>
    <row r="186" ht="15" customHeight="1" s="38">
      <c r="A186" s="84" t="inlineStr">
        <is>
          <t xml:space="preserve">    "bio": "Unglamorous wellness routines that a working person can actually keep up.",</t>
        </is>
      </c>
    </row>
    <row r="187" ht="15" customHeight="1" s="38">
      <c r="A187" s="84" t="inlineStr">
        <is>
          <t xml:space="preserve">    "languages": [</t>
        </is>
      </c>
    </row>
    <row r="188" ht="15" customHeight="1" s="38">
      <c r="A188" s="84" t="inlineStr">
        <is>
          <t xml:space="preserve">      "English",</t>
        </is>
      </c>
    </row>
    <row r="189" ht="15" customHeight="1" s="38">
      <c r="A189" s="84" t="inlineStr">
        <is>
          <t xml:space="preserve">      "Hindi"</t>
        </is>
      </c>
    </row>
    <row r="190" ht="15" customHeight="1" s="38">
      <c r="A190" s="84" t="inlineStr">
        <is>
          <t xml:space="preserve">    ],</t>
        </is>
      </c>
    </row>
    <row r="191" ht="15" customHeight="1" s="38">
      <c r="A191" s="84" t="inlineStr">
        <is>
          <t xml:space="preserve">    "formatsOffered": [</t>
        </is>
      </c>
    </row>
    <row r="192" ht="15" customHeight="1" s="38">
      <c r="A192" s="84" t="inlineStr">
        <is>
          <t xml:space="preserve">      "Integrated",</t>
        </is>
      </c>
    </row>
    <row r="193" ht="15" customHeight="1" s="38">
      <c r="A193" s="84" t="inlineStr">
        <is>
          <t xml:space="preserve">      "Short"</t>
        </is>
      </c>
    </row>
    <row r="194" ht="15" customHeight="1" s="38">
      <c r="A194" s="84" t="inlineStr">
        <is>
          <t xml:space="preserve">    ],</t>
        </is>
      </c>
    </row>
    <row r="195" ht="15" customHeight="1" s="38">
      <c r="A195" s="84" t="inlineStr">
        <is>
          <t xml:space="preserve">    "turnaroundDays": 7,</t>
        </is>
      </c>
    </row>
    <row r="196" ht="15" customHeight="1" s="38">
      <c r="A196" s="84" t="inlineStr">
        <is>
          <t xml:space="preserve">    "workedWith": [</t>
        </is>
      </c>
    </row>
    <row r="197" ht="15" customHeight="1" s="38">
      <c r="A197" s="84" t="inlineStr">
        <is>
          <t xml:space="preserve">      "Wellness",</t>
        </is>
      </c>
    </row>
    <row r="198" ht="15" customHeight="1" s="38">
      <c r="A198" s="84" t="inlineStr">
        <is>
          <t xml:space="preserve">      "Activewear"</t>
        </is>
      </c>
    </row>
    <row r="199" ht="15" customHeight="1" s="38">
      <c r="A199" s="84" t="inlineStr">
        <is>
          <t xml:space="preserve">    ],</t>
        </is>
      </c>
    </row>
    <row r="200" ht="15" customHeight="1" s="38">
      <c r="A200" s="84" t="inlineStr">
        <is>
          <t xml:space="preserve">    "recentVideos": [</t>
        </is>
      </c>
    </row>
    <row r="201" ht="15" customHeight="1" s="38">
      <c r="A201" s="84" t="inlineStr">
        <is>
          <t xml:space="preserve">      {</t>
        </is>
      </c>
    </row>
    <row r="202" ht="15" customHeight="1" s="38">
      <c r="A202" s="84" t="inlineStr">
        <is>
          <t xml:space="preserve">        "title": "My Actual 6am Routine (No 5am Nonsense)",</t>
        </is>
      </c>
    </row>
    <row r="203" ht="15" customHeight="1" s="38">
      <c r="A203" s="84" t="inlineStr">
        <is>
          <t xml:space="preserve">        "daysAgo": 6,</t>
        </is>
      </c>
    </row>
    <row r="204" ht="15" customHeight="1" s="38">
      <c r="A204" s="84" t="inlineStr">
        <is>
          <t xml:space="preserve">        "views": 15000,</t>
        </is>
      </c>
    </row>
    <row r="205" ht="15" customHeight="1" s="38">
      <c r="A205" s="84" t="inlineStr">
        <is>
          <t xml:space="preserve">        "likes": 1400,</t>
        </is>
      </c>
    </row>
    <row r="206" ht="15" customHeight="1" s="38">
      <c r="A206" s="84" t="inlineStr">
        <is>
          <t xml:space="preserve">        "comments": 180,</t>
        </is>
      </c>
    </row>
    <row r="207" ht="15" customHeight="1" s="38">
      <c r="A207" s="84" t="inlineStr">
        <is>
          <t xml:space="preserve">        "hadSponsor": false,</t>
        </is>
      </c>
    </row>
    <row r="208" ht="15" customHeight="1" s="38">
      <c r="A208" s="84" t="inlineStr">
        <is>
          <t xml:space="preserve">        "topicTags": [</t>
        </is>
      </c>
    </row>
    <row r="209" ht="15" customHeight="1" s="38">
      <c r="A209" s="84" t="inlineStr">
        <is>
          <t xml:space="preserve">          "routine",</t>
        </is>
      </c>
    </row>
    <row r="210" ht="15" customHeight="1" s="38">
      <c r="A210" s="84" t="inlineStr">
        <is>
          <t xml:space="preserve">          "morning",</t>
        </is>
      </c>
    </row>
    <row r="211" ht="15" customHeight="1" s="38">
      <c r="A211" s="84" t="inlineStr">
        <is>
          <t xml:space="preserve">          "realistic"</t>
        </is>
      </c>
    </row>
    <row r="212" ht="15" customHeight="1" s="38">
      <c r="A212" s="84" t="inlineStr">
        <is>
          <t xml:space="preserve">        ]</t>
        </is>
      </c>
    </row>
    <row r="213" ht="15" customHeight="1" s="38">
      <c r="A213" s="84" t="inlineStr">
        <is>
          <t xml:space="preserve">      },</t>
        </is>
      </c>
    </row>
    <row r="214" ht="15" customHeight="1" s="38">
      <c r="A214" s="84" t="inlineStr">
        <is>
          <t xml:space="preserve">      {</t>
        </is>
      </c>
    </row>
    <row r="215" ht="15" customHeight="1" s="38">
      <c r="A215" s="84" t="inlineStr">
        <is>
          <t xml:space="preserve">        "title": "What I Eat in a Week on a Student Budget",</t>
        </is>
      </c>
    </row>
    <row r="216" ht="15" customHeight="1" s="38">
      <c r="A216" s="84" t="inlineStr">
        <is>
          <t xml:space="preserve">        "daysAgo": 12,</t>
        </is>
      </c>
    </row>
    <row r="217" ht="15" customHeight="1" s="38">
      <c r="A217" s="84" t="inlineStr">
        <is>
          <t xml:space="preserve">        "views": 11000,</t>
        </is>
      </c>
    </row>
    <row r="218" ht="15" customHeight="1" s="38">
      <c r="A218" s="84" t="inlineStr">
        <is>
          <t xml:space="preserve">        "likes": 1100,</t>
        </is>
      </c>
    </row>
    <row r="219" ht="15" customHeight="1" s="38">
      <c r="A219" s="84" t="inlineStr">
        <is>
          <t xml:space="preserve">        "comments": 140,</t>
        </is>
      </c>
    </row>
    <row r="220" ht="15" customHeight="1" s="38">
      <c r="A220" s="84" t="inlineStr">
        <is>
          <t xml:space="preserve">        "hadSponsor": false,</t>
        </is>
      </c>
    </row>
    <row r="221" ht="15" customHeight="1" s="38">
      <c r="A221" s="84" t="inlineStr">
        <is>
          <t xml:space="preserve">        "topicTags": [</t>
        </is>
      </c>
    </row>
    <row r="222" ht="15" customHeight="1" s="38">
      <c r="A222" s="84" t="inlineStr">
        <is>
          <t xml:space="preserve">          "budget",</t>
        </is>
      </c>
    </row>
    <row r="223" ht="15" customHeight="1" s="38">
      <c r="A223" s="84" t="inlineStr">
        <is>
          <t xml:space="preserve">          "nutrition",</t>
        </is>
      </c>
    </row>
    <row r="224" ht="15" customHeight="1" s="38">
      <c r="A224" s="84" t="inlineStr">
        <is>
          <t xml:space="preserve">          "student"</t>
        </is>
      </c>
    </row>
    <row r="225" ht="15" customHeight="1" s="38">
      <c r="A225" s="84" t="inlineStr">
        <is>
          <t xml:space="preserve">        ]</t>
        </is>
      </c>
    </row>
    <row r="226" ht="15" customHeight="1" s="38">
      <c r="A226" s="84" t="inlineStr">
        <is>
          <t xml:space="preserve">      },</t>
        </is>
      </c>
    </row>
    <row r="227" ht="15" customHeight="1" s="38">
      <c r="A227" s="84" t="inlineStr">
        <is>
          <t xml:space="preserve">      {</t>
        </is>
      </c>
    </row>
    <row r="228" ht="15" customHeight="1" s="38">
      <c r="A228" s="84" t="inlineStr">
        <is>
          <t xml:space="preserve">        "title": "3 Stretches That Fixed My Desk Neck",</t>
        </is>
      </c>
    </row>
    <row r="229" ht="15" customHeight="1" s="38">
      <c r="A229" s="84" t="inlineStr">
        <is>
          <t xml:space="preserve">        "daysAgo": 21,</t>
        </is>
      </c>
    </row>
    <row r="230" ht="15" customHeight="1" s="38">
      <c r="A230" s="84" t="inlineStr">
        <is>
          <t xml:space="preserve">        "views": 13000,</t>
        </is>
      </c>
    </row>
    <row r="231" ht="15" customHeight="1" s="38">
      <c r="A231" s="84" t="inlineStr">
        <is>
          <t xml:space="preserve">        "likes": 1250,</t>
        </is>
      </c>
    </row>
    <row r="232" ht="15" customHeight="1" s="38">
      <c r="A232" s="84" t="inlineStr">
        <is>
          <t xml:space="preserve">        "comments": 160,</t>
        </is>
      </c>
    </row>
    <row r="233" ht="15" customHeight="1" s="38">
      <c r="A233" s="84" t="inlineStr">
        <is>
          <t xml:space="preserve">        "hadSponsor": true,</t>
        </is>
      </c>
    </row>
    <row r="234" ht="15" customHeight="1" s="38">
      <c r="A234" s="84" t="inlineStr">
        <is>
          <t xml:space="preserve">        "topicTags": [</t>
        </is>
      </c>
    </row>
    <row r="235" ht="15" customHeight="1" s="38">
      <c r="A235" s="84" t="inlineStr">
        <is>
          <t xml:space="preserve">          "mobility",</t>
        </is>
      </c>
    </row>
    <row r="236" ht="15" customHeight="1" s="38">
      <c r="A236" s="84" t="inlineStr">
        <is>
          <t xml:space="preserve">          "desk-health",</t>
        </is>
      </c>
    </row>
    <row r="237" ht="15" customHeight="1" s="38">
      <c r="A237" s="84" t="inlineStr">
        <is>
          <t xml:space="preserve">          "how-to"</t>
        </is>
      </c>
    </row>
    <row r="238" ht="15" customHeight="1" s="38">
      <c r="A238" s="84" t="inlineStr">
        <is>
          <t xml:space="preserve">        ]</t>
        </is>
      </c>
    </row>
    <row r="239" ht="15" customHeight="1" s="38">
      <c r="A239" s="84" t="inlineStr">
        <is>
          <t xml:space="preserve">      }</t>
        </is>
      </c>
    </row>
    <row r="240" ht="15" customHeight="1" s="38">
      <c r="A240" s="84" t="inlineStr">
        <is>
          <t xml:space="preserve">    ]</t>
        </is>
      </c>
    </row>
    <row r="241" ht="15" customHeight="1" s="38">
      <c r="A241" s="84" t="inlineStr">
        <is>
          <t xml:space="preserve">  },</t>
        </is>
      </c>
    </row>
    <row r="242" ht="15" customHeight="1" s="38">
      <c r="A242" s="84" t="inlineStr">
        <is>
          <t xml:space="preserve">  {</t>
        </is>
      </c>
    </row>
    <row r="243" ht="15" customHeight="1" s="38">
      <c r="A243" s="84" t="inlineStr">
        <is>
          <t xml:space="preserve">    "id": "jordan-blake",</t>
        </is>
      </c>
    </row>
    <row r="244" ht="15" customHeight="1" s="38">
      <c r="A244" s="84" t="inlineStr">
        <is>
          <t xml:space="preserve">    "name": "Jordan Blake",</t>
        </is>
      </c>
    </row>
    <row r="245" ht="15" customHeight="1" s="38">
      <c r="A245" s="84" t="inlineStr">
        <is>
          <t xml:space="preserve">    "handle": "@jordanreviews",</t>
        </is>
      </c>
    </row>
    <row r="246" ht="15" customHeight="1" s="38">
      <c r="A246" s="84" t="inlineStr">
        <is>
          <t xml:space="preserve">    "category": "Tech Reviews",</t>
        </is>
      </c>
    </row>
    <row r="247" ht="15" customHeight="1" s="38">
      <c r="A247" s="84" t="inlineStr">
        <is>
          <t xml:space="preserve">    "tier": "Mid-tier",</t>
        </is>
      </c>
    </row>
    <row r="248" ht="15" customHeight="1" s="38">
      <c r="A248" s="84" t="inlineStr">
        <is>
          <t xml:space="preserve">    "subscribers": 310000,</t>
        </is>
      </c>
    </row>
    <row r="249" ht="15" customHeight="1" s="38">
      <c r="A249" s="84" t="inlineStr">
        <is>
          <t xml:space="preserve">    "avgViews": 140000,</t>
        </is>
      </c>
    </row>
    <row r="250" ht="15" customHeight="1" s="38">
      <c r="A250" s="84" t="inlineStr">
        <is>
          <t xml:space="preserve">    "engagementRate": 0.043,</t>
        </is>
      </c>
    </row>
    <row r="251" ht="15" customHeight="1" s="38">
      <c r="A251" s="84" t="inlineStr">
        <is>
          <t xml:space="preserve">    "channelVerified": true,</t>
        </is>
      </c>
    </row>
    <row r="252" ht="15" customHeight="1" s="38">
      <c r="A252" s="84" t="inlineStr">
        <is>
          <t xml:space="preserve">    "safetyScore": 85,</t>
        </is>
      </c>
    </row>
    <row r="253" ht="15" customHeight="1" s="38">
      <c r="A253" s="84" t="inlineStr">
        <is>
          <t xml:space="preserve">    "audienceAge": "18-34",</t>
        </is>
      </c>
    </row>
    <row r="254" ht="15" customHeight="1" s="38">
      <c r="A254" s="84" t="inlineStr">
        <is>
          <t xml:space="preserve">    "audienceGender": "71% M",</t>
        </is>
      </c>
    </row>
    <row r="255" ht="15" customHeight="1" s="38">
      <c r="A255" s="84" t="inlineStr">
        <is>
          <t xml:space="preserve">    "topCountry": "US",</t>
        </is>
      </c>
    </row>
    <row r="256" ht="15" customHeight="1" s="38">
      <c r="A256" s="84" t="inlineStr">
        <is>
          <t xml:space="preserve">    "uploadCadence": "2 / week",</t>
        </is>
      </c>
    </row>
    <row r="257" ht="15" customHeight="1" s="38">
      <c r="A257" s="84" t="inlineStr">
        <is>
          <t xml:space="preserve">    "avgLengthMin": 15,</t>
        </is>
      </c>
    </row>
    <row r="258" ht="15" customHeight="1" s="38">
      <c r="A258" s="84" t="inlineStr">
        <is>
          <t xml:space="preserve">    "rates": {</t>
        </is>
      </c>
    </row>
    <row r="259" ht="15" customHeight="1" s="38">
      <c r="A259" s="84" t="inlineStr">
        <is>
          <t xml:space="preserve">      "integrated": 3500,</t>
        </is>
      </c>
    </row>
    <row r="260" ht="15" customHeight="1" s="38">
      <c r="A260" s="84" t="inlineStr">
        <is>
          <t xml:space="preserve">      "dedicated": 8000,</t>
        </is>
      </c>
    </row>
    <row r="261" ht="15" customHeight="1" s="38">
      <c r="A261" s="84" t="inlineStr">
        <is>
          <t xml:space="preserve">      "short": 1500</t>
        </is>
      </c>
    </row>
    <row r="262" ht="15" customHeight="1" s="38">
      <c r="A262" s="84" t="inlineStr">
        <is>
          <t xml:space="preserve">    },</t>
        </is>
      </c>
    </row>
    <row r="263" ht="15" customHeight="1" s="38">
      <c r="A263" s="84" t="inlineStr">
        <is>
          <t xml:space="preserve">    "avatarInitials": "JB",</t>
        </is>
      </c>
    </row>
    <row r="264" ht="15" customHeight="1" s="38">
      <c r="A264" s="84" t="inlineStr">
        <is>
          <t xml:space="preserve">    "avatarColor": "#2C3E50",</t>
        </is>
      </c>
    </row>
    <row r="265" ht="15" customHeight="1" s="38">
      <c r="A265" s="84" t="inlineStr">
        <is>
          <t xml:space="preserve">    "bio": "Consumer tech tested on a budget, with the spec-sheet marketing stripped out.",</t>
        </is>
      </c>
    </row>
    <row r="266" ht="15" customHeight="1" s="38">
      <c r="A266" s="84" t="inlineStr">
        <is>
          <t xml:space="preserve">    "languages": [</t>
        </is>
      </c>
    </row>
    <row r="267" ht="15" customHeight="1" s="38">
      <c r="A267" s="84" t="inlineStr">
        <is>
          <t xml:space="preserve">      "English"</t>
        </is>
      </c>
    </row>
    <row r="268" ht="15" customHeight="1" s="38">
      <c r="A268" s="84" t="inlineStr">
        <is>
          <t xml:space="preserve">    ],</t>
        </is>
      </c>
    </row>
    <row r="269" ht="15" customHeight="1" s="38">
      <c r="A269" s="84" t="inlineStr">
        <is>
          <t xml:space="preserve">    "formatsOffered": [</t>
        </is>
      </c>
    </row>
    <row r="270" ht="15" customHeight="1" s="38">
      <c r="A270" s="84" t="inlineStr">
        <is>
          <t xml:space="preserve">      "Integrated",</t>
        </is>
      </c>
    </row>
    <row r="271" ht="15" customHeight="1" s="38">
      <c r="A271" s="84" t="inlineStr">
        <is>
          <t xml:space="preserve">      "Dedicated",</t>
        </is>
      </c>
    </row>
    <row r="272" ht="15" customHeight="1" s="38">
      <c r="A272" s="84" t="inlineStr">
        <is>
          <t xml:space="preserve">      "Short"</t>
        </is>
      </c>
    </row>
    <row r="273" ht="15" customHeight="1" s="38">
      <c r="A273" s="84" t="inlineStr">
        <is>
          <t xml:space="preserve">    ],</t>
        </is>
      </c>
    </row>
    <row r="274" ht="15" customHeight="1" s="38">
      <c r="A274" s="84" t="inlineStr">
        <is>
          <t xml:space="preserve">    "turnaroundDays": 14,</t>
        </is>
      </c>
    </row>
    <row r="275" ht="15" customHeight="1" s="38">
      <c r="A275" s="84" t="inlineStr">
        <is>
          <t xml:space="preserve">    "workedWith": [</t>
        </is>
      </c>
    </row>
    <row r="276" ht="15" customHeight="1" s="38">
      <c r="A276" s="84" t="inlineStr">
        <is>
          <t xml:space="preserve">      "Consumer Electronics",</t>
        </is>
      </c>
    </row>
    <row r="277" ht="15" customHeight="1" s="38">
      <c r="A277" s="84" t="inlineStr">
        <is>
          <t xml:space="preserve">      "Accessories"</t>
        </is>
      </c>
    </row>
    <row r="278" ht="15" customHeight="1" s="38">
      <c r="A278" s="84" t="inlineStr">
        <is>
          <t xml:space="preserve">    ],</t>
        </is>
      </c>
    </row>
    <row r="279" ht="15" customHeight="1" s="38">
      <c r="A279" s="84" t="inlineStr">
        <is>
          <t xml:space="preserve">    "recentVideos": [</t>
        </is>
      </c>
    </row>
    <row r="280" ht="15" customHeight="1" s="38">
      <c r="A280" s="84" t="inlineStr">
        <is>
          <t xml:space="preserve">      {</t>
        </is>
      </c>
    </row>
    <row r="281" ht="15" customHeight="1" s="38">
      <c r="A281" s="84" t="inlineStr">
        <is>
          <t xml:space="preserve">        "title": "This $200 Laptop Shouldn't Be This Good",</t>
        </is>
      </c>
    </row>
    <row r="282" ht="15" customHeight="1" s="38">
      <c r="A282" s="84" t="inlineStr">
        <is>
          <t xml:space="preserve">        "daysAgo": 4,</t>
        </is>
      </c>
    </row>
    <row r="283" ht="15" customHeight="1" s="38">
      <c r="A283" s="84" t="inlineStr">
        <is>
          <t xml:space="preserve">        "views": 168000,</t>
        </is>
      </c>
    </row>
    <row r="284" ht="15" customHeight="1" s="38">
      <c r="A284" s="84" t="inlineStr">
        <is>
          <t xml:space="preserve">        "likes": 7100,</t>
        </is>
      </c>
    </row>
    <row r="285" ht="15" customHeight="1" s="38">
      <c r="A285" s="84" t="inlineStr">
        <is>
          <t xml:space="preserve">        "comments": 1200,</t>
        </is>
      </c>
    </row>
    <row r="286" ht="15" customHeight="1" s="38">
      <c r="A286" s="84" t="inlineStr">
        <is>
          <t xml:space="preserve">        "hadSponsor": false,</t>
        </is>
      </c>
    </row>
    <row r="287" ht="15" customHeight="1" s="38">
      <c r="A287" s="84" t="inlineStr">
        <is>
          <t xml:space="preserve">        "topicTags": [</t>
        </is>
      </c>
    </row>
    <row r="288" ht="15" customHeight="1" s="38">
      <c r="A288" s="84" t="inlineStr">
        <is>
          <t xml:space="preserve">          "budget-tech",</t>
        </is>
      </c>
    </row>
    <row r="289" ht="15" customHeight="1" s="38">
      <c r="A289" s="84" t="inlineStr">
        <is>
          <t xml:space="preserve">          "laptop",</t>
        </is>
      </c>
    </row>
    <row r="290" ht="15" customHeight="1" s="38">
      <c r="A290" s="84" t="inlineStr">
        <is>
          <t xml:space="preserve">          "review"</t>
        </is>
      </c>
    </row>
    <row r="291" ht="15" customHeight="1" s="38">
      <c r="A291" s="84" t="inlineStr">
        <is>
          <t xml:space="preserve">        ]</t>
        </is>
      </c>
    </row>
    <row r="292" ht="15" customHeight="1" s="38">
      <c r="A292" s="84" t="inlineStr">
        <is>
          <t xml:space="preserve">      },</t>
        </is>
      </c>
    </row>
    <row r="293" ht="15" customHeight="1" s="38">
      <c r="A293" s="84" t="inlineStr">
        <is>
          <t xml:space="preserve">      {</t>
        </is>
      </c>
    </row>
    <row r="294" ht="15" customHeight="1" s="38">
      <c r="A294" s="84" t="inlineStr">
        <is>
          <t xml:space="preserve">        "title": "I Used Only Budget Headphones for 30 Days",</t>
        </is>
      </c>
    </row>
    <row r="295" ht="15" customHeight="1" s="38">
      <c r="A295" s="84" t="inlineStr">
        <is>
          <t xml:space="preserve">        "daysAgo": 13,</t>
        </is>
      </c>
    </row>
    <row r="296" ht="15" customHeight="1" s="38">
      <c r="A296" s="84" t="inlineStr">
        <is>
          <t xml:space="preserve">        "views": 129000,</t>
        </is>
      </c>
    </row>
    <row r="297" ht="15" customHeight="1" s="38">
      <c r="A297" s="84" t="inlineStr">
        <is>
          <t xml:space="preserve">        "likes": 5400,</t>
        </is>
      </c>
    </row>
    <row r="298" ht="15" customHeight="1" s="38">
      <c r="A298" s="84" t="inlineStr">
        <is>
          <t xml:space="preserve">        "comments": 890,</t>
        </is>
      </c>
    </row>
    <row r="299" ht="15" customHeight="1" s="38">
      <c r="A299" s="84" t="inlineStr">
        <is>
          <t xml:space="preserve">        "hadSponsor": true,</t>
        </is>
      </c>
    </row>
    <row r="300" ht="15" customHeight="1" s="38">
      <c r="A300" s="84" t="inlineStr">
        <is>
          <t xml:space="preserve">        "topicTags": [</t>
        </is>
      </c>
    </row>
    <row r="301" ht="15" customHeight="1" s="38">
      <c r="A301" s="84" t="inlineStr">
        <is>
          <t xml:space="preserve">          "audio",</t>
        </is>
      </c>
    </row>
    <row r="302" ht="15" customHeight="1" s="38">
      <c r="A302" s="84" t="inlineStr">
        <is>
          <t xml:space="preserve">          "long-term-test"</t>
        </is>
      </c>
    </row>
    <row r="303" ht="15" customHeight="1" s="38">
      <c r="A303" s="84" t="inlineStr">
        <is>
          <t xml:space="preserve">        ]</t>
        </is>
      </c>
    </row>
    <row r="304" ht="15" customHeight="1" s="38">
      <c r="A304" s="84" t="inlineStr">
        <is>
          <t xml:space="preserve">      },</t>
        </is>
      </c>
    </row>
    <row r="305" ht="15" customHeight="1" s="38">
      <c r="A305" s="84" t="inlineStr">
        <is>
          <t xml:space="preserve">      {</t>
        </is>
      </c>
    </row>
    <row r="306" ht="15" customHeight="1" s="38">
      <c r="A306" s="84" t="inlineStr">
        <is>
          <t xml:space="preserve">        "title": "Every USB-C Cable Is Lying to You",</t>
        </is>
      </c>
    </row>
    <row r="307" ht="15" customHeight="1" s="38">
      <c r="A307" s="84" t="inlineStr">
        <is>
          <t xml:space="preserve">        "daysAgo": 22,</t>
        </is>
      </c>
    </row>
    <row r="308" ht="15" customHeight="1" s="38">
      <c r="A308" s="84" t="inlineStr">
        <is>
          <t xml:space="preserve">        "views": 145000,</t>
        </is>
      </c>
    </row>
    <row r="309" ht="15" customHeight="1" s="38">
      <c r="A309" s="84" t="inlineStr">
        <is>
          <t xml:space="preserve">        "likes": 6200,</t>
        </is>
      </c>
    </row>
    <row r="310" ht="15" customHeight="1" s="38">
      <c r="A310" s="84" t="inlineStr">
        <is>
          <t xml:space="preserve">        "comments": 1050,</t>
        </is>
      </c>
    </row>
    <row r="311" ht="15" customHeight="1" s="38">
      <c r="A311" s="84" t="inlineStr">
        <is>
          <t xml:space="preserve">        "hadSponsor": false,</t>
        </is>
      </c>
    </row>
    <row r="312" ht="15" customHeight="1" s="38">
      <c r="A312" s="84" t="inlineStr">
        <is>
          <t xml:space="preserve">        "topicTags": [</t>
        </is>
      </c>
    </row>
    <row r="313" ht="15" customHeight="1" s="38">
      <c r="A313" s="84" t="inlineStr">
        <is>
          <t xml:space="preserve">          "accessories",</t>
        </is>
      </c>
    </row>
    <row r="314" ht="15" customHeight="1" s="38">
      <c r="A314" s="84" t="inlineStr">
        <is>
          <t xml:space="preserve">          "testing",</t>
        </is>
      </c>
    </row>
    <row r="315" ht="15" customHeight="1" s="38">
      <c r="A315" s="84" t="inlineStr">
        <is>
          <t xml:space="preserve">          "explainer"</t>
        </is>
      </c>
    </row>
    <row r="316" ht="15" customHeight="1" s="38">
      <c r="A316" s="84" t="inlineStr">
        <is>
          <t xml:space="preserve">        ]</t>
        </is>
      </c>
    </row>
    <row r="317" ht="15" customHeight="1" s="38">
      <c r="A317" s="84" t="inlineStr">
        <is>
          <t xml:space="preserve">      }</t>
        </is>
      </c>
    </row>
    <row r="318" ht="15" customHeight="1" s="38">
      <c r="A318" s="84" t="inlineStr">
        <is>
          <t xml:space="preserve">    ]</t>
        </is>
      </c>
    </row>
    <row r="319" ht="15" customHeight="1" s="38">
      <c r="A319" s="84" t="inlineStr">
        <is>
          <t xml:space="preserve">  },</t>
        </is>
      </c>
    </row>
    <row r="320" ht="15" customHeight="1" s="38">
      <c r="A320" s="84" t="inlineStr">
        <is>
          <t xml:space="preserve">  {</t>
        </is>
      </c>
    </row>
    <row r="321" ht="15" customHeight="1" s="38">
      <c r="A321" s="84" t="inlineStr">
        <is>
          <t xml:space="preserve">    "id": "sofia-reyes",</t>
        </is>
      </c>
    </row>
    <row r="322" ht="15" customHeight="1" s="38">
      <c r="A322" s="84" t="inlineStr">
        <is>
          <t xml:space="preserve">    "name": "Sofia Reyes",</t>
        </is>
      </c>
    </row>
    <row r="323" ht="15" customHeight="1" s="38">
      <c r="A323" s="84" t="inlineStr">
        <is>
          <t xml:space="preserve">    "handle": "@sofiabakes",</t>
        </is>
      </c>
    </row>
    <row r="324" ht="15" customHeight="1" s="38">
      <c r="A324" s="84" t="inlineStr">
        <is>
          <t xml:space="preserve">    "category": "Food &amp; Beverage",</t>
        </is>
      </c>
    </row>
    <row r="325" ht="15" customHeight="1" s="38">
      <c r="A325" s="84" t="inlineStr">
        <is>
          <t xml:space="preserve">    "tier": "Nano",</t>
        </is>
      </c>
    </row>
    <row r="326" ht="15" customHeight="1" s="38">
      <c r="A326" s="84" t="inlineStr">
        <is>
          <t xml:space="preserve">    "subscribers": 4200,</t>
        </is>
      </c>
    </row>
    <row r="327" ht="15" customHeight="1" s="38">
      <c r="A327" s="84" t="inlineStr">
        <is>
          <t xml:space="preserve">    "avgViews": 3100,</t>
        </is>
      </c>
    </row>
    <row r="328" ht="15" customHeight="1" s="38">
      <c r="A328" s="84" t="inlineStr">
        <is>
          <t xml:space="preserve">    "engagementRate": 0.118,</t>
        </is>
      </c>
    </row>
    <row r="329" ht="15" customHeight="1" s="38">
      <c r="A329" s="84" t="inlineStr">
        <is>
          <t xml:space="preserve">    "channelVerified": false,</t>
        </is>
      </c>
    </row>
    <row r="330" ht="15" customHeight="1" s="38">
      <c r="A330" s="84" t="inlineStr">
        <is>
          <t xml:space="preserve">    "safetyScore": 97,</t>
        </is>
      </c>
    </row>
    <row r="331" ht="15" customHeight="1" s="38">
      <c r="A331" s="84" t="inlineStr">
        <is>
          <t xml:space="preserve">    "audienceAge": "18-34",</t>
        </is>
      </c>
    </row>
    <row r="332" ht="15" customHeight="1" s="38">
      <c r="A332" s="84" t="inlineStr">
        <is>
          <t xml:space="preserve">    "audienceGender": "82% F",</t>
        </is>
      </c>
    </row>
    <row r="333" ht="15" customHeight="1" s="38">
      <c r="A333" s="84" t="inlineStr">
        <is>
          <t xml:space="preserve">    "topCountry": "US",</t>
        </is>
      </c>
    </row>
    <row r="334" ht="15" customHeight="1" s="38">
      <c r="A334" s="84" t="inlineStr">
        <is>
          <t xml:space="preserve">    "uploadCadence": "1 / week",</t>
        </is>
      </c>
    </row>
    <row r="335" ht="15" customHeight="1" s="38">
      <c r="A335" s="84" t="inlineStr">
        <is>
          <t xml:space="preserve">    "avgLengthMin": 9,</t>
        </is>
      </c>
    </row>
    <row r="336" ht="15" customHeight="1" s="38">
      <c r="A336" s="84" t="inlineStr">
        <is>
          <t xml:space="preserve">    "rates": {</t>
        </is>
      </c>
    </row>
    <row r="337" ht="15" customHeight="1" s="38">
      <c r="A337" s="84" t="inlineStr">
        <is>
          <t xml:space="preserve">      "integrated": 180,</t>
        </is>
      </c>
    </row>
    <row r="338" ht="15" customHeight="1" s="38">
      <c r="A338" s="84" t="inlineStr">
        <is>
          <t xml:space="preserve">      "dedicated": 340,</t>
        </is>
      </c>
    </row>
    <row r="339" ht="15" customHeight="1" s="38">
      <c r="A339" s="84" t="inlineStr">
        <is>
          <t xml:space="preserve">      "short": 110</t>
        </is>
      </c>
    </row>
    <row r="340" ht="15" customHeight="1" s="38">
      <c r="A340" s="84" t="inlineStr">
        <is>
          <t xml:space="preserve">    },</t>
        </is>
      </c>
    </row>
    <row r="341" ht="15" customHeight="1" s="38">
      <c r="A341" s="84" t="inlineStr">
        <is>
          <t xml:space="preserve">    "avatarInitials": "SR",</t>
        </is>
      </c>
    </row>
    <row r="342" ht="15" customHeight="1" s="38">
      <c r="A342" s="84" t="inlineStr">
        <is>
          <t xml:space="preserve">    "avatarColor": "#E67E22",</t>
        </is>
      </c>
    </row>
    <row r="343" ht="15" customHeight="1" s="38">
      <c r="A343" s="84" t="inlineStr">
        <is>
          <t xml:space="preserve">    "bio": "Small-kitchen baking. Nothing here needs equipment you do not already own.",</t>
        </is>
      </c>
    </row>
    <row r="344" ht="15" customHeight="1" s="38">
      <c r="A344" s="84" t="inlineStr">
        <is>
          <t xml:space="preserve">    "languages": [</t>
        </is>
      </c>
    </row>
    <row r="345" ht="15" customHeight="1" s="38">
      <c r="A345" s="84" t="inlineStr">
        <is>
          <t xml:space="preserve">      "English",</t>
        </is>
      </c>
    </row>
    <row r="346" ht="15" customHeight="1" s="38">
      <c r="A346" s="84" t="inlineStr">
        <is>
          <t xml:space="preserve">      "Spanish"</t>
        </is>
      </c>
    </row>
    <row r="347" ht="15" customHeight="1" s="38">
      <c r="A347" s="84" t="inlineStr">
        <is>
          <t xml:space="preserve">    ],</t>
        </is>
      </c>
    </row>
    <row r="348" ht="15" customHeight="1" s="38">
      <c r="A348" s="84" t="inlineStr">
        <is>
          <t xml:space="preserve">    "formatsOffered": [</t>
        </is>
      </c>
    </row>
    <row r="349" ht="15" customHeight="1" s="38">
      <c r="A349" s="84" t="inlineStr">
        <is>
          <t xml:space="preserve">      "Integrated",</t>
        </is>
      </c>
    </row>
    <row r="350" ht="15" customHeight="1" s="38">
      <c r="A350" s="84" t="inlineStr">
        <is>
          <t xml:space="preserve">      "Short"</t>
        </is>
      </c>
    </row>
    <row r="351" ht="15" customHeight="1" s="38">
      <c r="A351" s="84" t="inlineStr">
        <is>
          <t xml:space="preserve">    ],</t>
        </is>
      </c>
    </row>
    <row r="352" ht="15" customHeight="1" s="38">
      <c r="A352" s="84" t="inlineStr">
        <is>
          <t xml:space="preserve">    "turnaroundDays": 7,</t>
        </is>
      </c>
    </row>
    <row r="353" ht="15" customHeight="1" s="38">
      <c r="A353" s="84" t="inlineStr">
        <is>
          <t xml:space="preserve">    "workedWith": [</t>
        </is>
      </c>
    </row>
    <row r="354" ht="15" customHeight="1" s="38">
      <c r="A354" s="84" t="inlineStr">
        <is>
          <t xml:space="preserve">      "Baking",</t>
        </is>
      </c>
    </row>
    <row r="355" ht="15" customHeight="1" s="38">
      <c r="A355" s="84" t="inlineStr">
        <is>
          <t xml:space="preserve">      "Grocery"</t>
        </is>
      </c>
    </row>
    <row r="356" ht="15" customHeight="1" s="38">
      <c r="A356" s="84" t="inlineStr">
        <is>
          <t xml:space="preserve">    ],</t>
        </is>
      </c>
    </row>
    <row r="357" ht="15" customHeight="1" s="38">
      <c r="A357" s="84" t="inlineStr">
        <is>
          <t xml:space="preserve">    "recentVideos": [</t>
        </is>
      </c>
    </row>
    <row r="358" ht="15" customHeight="1" s="38">
      <c r="A358" s="84" t="inlineStr">
        <is>
          <t xml:space="preserve">      {</t>
        </is>
      </c>
    </row>
    <row r="359" ht="15" customHeight="1" s="38">
      <c r="A359" s="84" t="inlineStr">
        <is>
          <t xml:space="preserve">        "title": "Sourdough in a Tiny Apartment Kitchen",</t>
        </is>
      </c>
    </row>
    <row r="360" ht="15" customHeight="1" s="38">
      <c r="A360" s="84" t="inlineStr">
        <is>
          <t xml:space="preserve">        "daysAgo": 7,</t>
        </is>
      </c>
    </row>
    <row r="361" ht="15" customHeight="1" s="38">
      <c r="A361" s="84" t="inlineStr">
        <is>
          <t xml:space="preserve">        "views": 3600,</t>
        </is>
      </c>
    </row>
    <row r="362" ht="15" customHeight="1" s="38">
      <c r="A362" s="84" t="inlineStr">
        <is>
          <t xml:space="preserve">        "likes": 420,</t>
        </is>
      </c>
    </row>
    <row r="363" ht="15" customHeight="1" s="38">
      <c r="A363" s="84" t="inlineStr">
        <is>
          <t xml:space="preserve">        "comments": 68,</t>
        </is>
      </c>
    </row>
    <row r="364" ht="15" customHeight="1" s="38">
      <c r="A364" s="84" t="inlineStr">
        <is>
          <t xml:space="preserve">        "hadSponsor": false,</t>
        </is>
      </c>
    </row>
    <row r="365" ht="15" customHeight="1" s="38">
      <c r="A365" s="84" t="inlineStr">
        <is>
          <t xml:space="preserve">        "topicTags": [</t>
        </is>
      </c>
    </row>
    <row r="366" ht="15" customHeight="1" s="38">
      <c r="A366" s="84" t="inlineStr">
        <is>
          <t xml:space="preserve">          "baking",</t>
        </is>
      </c>
    </row>
    <row r="367" ht="15" customHeight="1" s="38">
      <c r="A367" s="84" t="inlineStr">
        <is>
          <t xml:space="preserve">          "small-space",</t>
        </is>
      </c>
    </row>
    <row r="368" ht="15" customHeight="1" s="38">
      <c r="A368" s="84" t="inlineStr">
        <is>
          <t xml:space="preserve">          "bread"</t>
        </is>
      </c>
    </row>
    <row r="369" ht="15" customHeight="1" s="38">
      <c r="A369" s="84" t="inlineStr">
        <is>
          <t xml:space="preserve">        ]</t>
        </is>
      </c>
    </row>
    <row r="370" ht="15" customHeight="1" s="38">
      <c r="A370" s="84" t="inlineStr">
        <is>
          <t xml:space="preserve">      },</t>
        </is>
      </c>
    </row>
    <row r="371" ht="15" customHeight="1" s="38">
      <c r="A371" s="84" t="inlineStr">
        <is>
          <t xml:space="preserve">      {</t>
        </is>
      </c>
    </row>
    <row r="372" ht="15" customHeight="1" s="38">
      <c r="A372" s="84" t="inlineStr">
        <is>
          <t xml:space="preserve">        "title": "I Baked the Same Cake 5 Ways",</t>
        </is>
      </c>
    </row>
    <row r="373" ht="15" customHeight="1" s="38">
      <c r="A373" s="84" t="inlineStr">
        <is>
          <t xml:space="preserve">        "daysAgo": 16,</t>
        </is>
      </c>
    </row>
    <row r="374" ht="15" customHeight="1" s="38">
      <c r="A374" s="84" t="inlineStr">
        <is>
          <t xml:space="preserve">        "views": 2900,</t>
        </is>
      </c>
    </row>
    <row r="375" ht="15" customHeight="1" s="38">
      <c r="A375" s="84" t="inlineStr">
        <is>
          <t xml:space="preserve">        "likes": 350,</t>
        </is>
      </c>
    </row>
    <row r="376" ht="15" customHeight="1" s="38">
      <c r="A376" s="84" t="inlineStr">
        <is>
          <t xml:space="preserve">        "comments": 51,</t>
        </is>
      </c>
    </row>
    <row r="377" ht="15" customHeight="1" s="38">
      <c r="A377" s="84" t="inlineStr">
        <is>
          <t xml:space="preserve">        "hadSponsor": false,</t>
        </is>
      </c>
    </row>
    <row r="378" ht="15" customHeight="1" s="38">
      <c r="A378" s="84" t="inlineStr">
        <is>
          <t xml:space="preserve">        "topicTags": [</t>
        </is>
      </c>
    </row>
    <row r="379" ht="15" customHeight="1" s="38">
      <c r="A379" s="84" t="inlineStr">
        <is>
          <t xml:space="preserve">          "baking",</t>
        </is>
      </c>
    </row>
    <row r="380" ht="15" customHeight="1" s="38">
      <c r="A380" s="84" t="inlineStr">
        <is>
          <t xml:space="preserve">          "experiment",</t>
        </is>
      </c>
    </row>
    <row r="381" ht="15" customHeight="1" s="38">
      <c r="A381" s="84" t="inlineStr">
        <is>
          <t xml:space="preserve">          "cake"</t>
        </is>
      </c>
    </row>
    <row r="382" ht="15" customHeight="1" s="38">
      <c r="A382" s="84" t="inlineStr">
        <is>
          <t xml:space="preserve">        ]</t>
        </is>
      </c>
    </row>
    <row r="383" ht="15" customHeight="1" s="38">
      <c r="A383" s="84" t="inlineStr">
        <is>
          <t xml:space="preserve">      },</t>
        </is>
      </c>
    </row>
    <row r="384" ht="15" customHeight="1" s="38">
      <c r="A384" s="84" t="inlineStr">
        <is>
          <t xml:space="preserve">      {</t>
        </is>
      </c>
    </row>
    <row r="385" ht="15" customHeight="1" s="38">
      <c r="A385" s="84" t="inlineStr">
        <is>
          <t xml:space="preserve">        "title": "Why Your Cookies Spread (Fixed It)",</t>
        </is>
      </c>
    </row>
    <row r="386" ht="15" customHeight="1" s="38">
      <c r="A386" s="84" t="inlineStr">
        <is>
          <t xml:space="preserve">        "daysAgo": 25,</t>
        </is>
      </c>
    </row>
    <row r="387" ht="15" customHeight="1" s="38">
      <c r="A387" s="84" t="inlineStr">
        <is>
          <t xml:space="preserve">        "views": 3300,</t>
        </is>
      </c>
    </row>
    <row r="388" ht="15" customHeight="1" s="38">
      <c r="A388" s="84" t="inlineStr">
        <is>
          <t xml:space="preserve">        "likes": 380,</t>
        </is>
      </c>
    </row>
    <row r="389" ht="15" customHeight="1" s="38">
      <c r="A389" s="84" t="inlineStr">
        <is>
          <t xml:space="preserve">        "comments": 59,</t>
        </is>
      </c>
    </row>
    <row r="390" ht="15" customHeight="1" s="38">
      <c r="A390" s="84" t="inlineStr">
        <is>
          <t xml:space="preserve">        "hadSponsor": false,</t>
        </is>
      </c>
    </row>
    <row r="391" ht="15" customHeight="1" s="38">
      <c r="A391" s="84" t="inlineStr">
        <is>
          <t xml:space="preserve">        "topicTags": [</t>
        </is>
      </c>
    </row>
    <row r="392" ht="15" customHeight="1" s="38">
      <c r="A392" s="84" t="inlineStr">
        <is>
          <t xml:space="preserve">          "baking",</t>
        </is>
      </c>
    </row>
    <row r="393" ht="15" customHeight="1" s="38">
      <c r="A393" s="84" t="inlineStr">
        <is>
          <t xml:space="preserve">          "troubleshooting",</t>
        </is>
      </c>
    </row>
    <row r="394" ht="15" customHeight="1" s="38">
      <c r="A394" s="84" t="inlineStr">
        <is>
          <t xml:space="preserve">          "cookies"</t>
        </is>
      </c>
    </row>
    <row r="395" ht="15" customHeight="1" s="38">
      <c r="A395" s="84" t="inlineStr">
        <is>
          <t xml:space="preserve">        ]</t>
        </is>
      </c>
    </row>
    <row r="396" ht="15" customHeight="1" s="38">
      <c r="A396" s="84" t="inlineStr">
        <is>
          <t xml:space="preserve">      }</t>
        </is>
      </c>
    </row>
    <row r="397" ht="15" customHeight="1" s="38">
      <c r="A397" s="84" t="inlineStr">
        <is>
          <t xml:space="preserve">    ]</t>
        </is>
      </c>
    </row>
    <row r="398" ht="15" customHeight="1" s="38">
      <c r="A398" s="84" t="inlineStr">
        <is>
          <t xml:space="preserve">  },</t>
        </is>
      </c>
    </row>
    <row r="399" ht="15" customHeight="1" s="38">
      <c r="A399" s="84" t="inlineStr">
        <is>
          <t xml:space="preserve">  {</t>
        </is>
      </c>
    </row>
    <row r="400" ht="15" customHeight="1" s="38">
      <c r="A400" s="84" t="inlineStr">
        <is>
          <t xml:space="preserve">    "id": "tom-okafor",</t>
        </is>
      </c>
    </row>
    <row r="401" ht="15" customHeight="1" s="38">
      <c r="A401" s="84" t="inlineStr">
        <is>
          <t xml:space="preserve">    "name": "Tom Okafor",</t>
        </is>
      </c>
    </row>
    <row r="402" ht="15" customHeight="1" s="38">
      <c r="A402" s="84" t="inlineStr">
        <is>
          <t xml:space="preserve">    "handle": "@tomsdesksetup",</t>
        </is>
      </c>
    </row>
    <row r="403" ht="15" customHeight="1" s="38">
      <c r="A403" s="84" t="inlineStr">
        <is>
          <t xml:space="preserve">    "category": "Tech Reviews",</t>
        </is>
      </c>
    </row>
    <row r="404" ht="15" customHeight="1" s="38">
      <c r="A404" s="84" t="inlineStr">
        <is>
          <t xml:space="preserve">    "tier": "Nano",</t>
        </is>
      </c>
    </row>
    <row r="405" ht="15" customHeight="1" s="38">
      <c r="A405" s="84" t="inlineStr">
        <is>
          <t xml:space="preserve">    "subscribers": 7800,</t>
        </is>
      </c>
    </row>
    <row r="406" ht="15" customHeight="1" s="38">
      <c r="A406" s="84" t="inlineStr">
        <is>
          <t xml:space="preserve">    "avgViews": 5400,</t>
        </is>
      </c>
    </row>
    <row r="407" ht="15" customHeight="1" s="38">
      <c r="A407" s="84" t="inlineStr">
        <is>
          <t xml:space="preserve">    "engagementRate": 0.089,</t>
        </is>
      </c>
    </row>
    <row r="408" ht="15" customHeight="1" s="38">
      <c r="A408" s="84" t="inlineStr">
        <is>
          <t xml:space="preserve">    "channelVerified": true,</t>
        </is>
      </c>
    </row>
    <row r="409" ht="15" customHeight="1" s="38">
      <c r="A409" s="84" t="inlineStr">
        <is>
          <t xml:space="preserve">    "safetyScore": 92,</t>
        </is>
      </c>
    </row>
    <row r="410" ht="15" customHeight="1" s="38">
      <c r="A410" s="84" t="inlineStr">
        <is>
          <t xml:space="preserve">    "audienceAge": "18-34",</t>
        </is>
      </c>
    </row>
    <row r="411" ht="15" customHeight="1" s="38">
      <c r="A411" s="84" t="inlineStr">
        <is>
          <t xml:space="preserve">    "audienceGender": "68% M",</t>
        </is>
      </c>
    </row>
    <row r="412" ht="15" customHeight="1" s="38">
      <c r="A412" s="84" t="inlineStr">
        <is>
          <t xml:space="preserve">    "topCountry": "UK",</t>
        </is>
      </c>
    </row>
    <row r="413" ht="15" customHeight="1" s="38">
      <c r="A413" s="84" t="inlineStr">
        <is>
          <t xml:space="preserve">    "uploadCadence": "1 / week",</t>
        </is>
      </c>
    </row>
    <row r="414" ht="15" customHeight="1" s="38">
      <c r="A414" s="84" t="inlineStr">
        <is>
          <t xml:space="preserve">    "avgLengthMin": 11,</t>
        </is>
      </c>
    </row>
    <row r="415" ht="15" customHeight="1" s="38">
      <c r="A415" s="84" t="inlineStr">
        <is>
          <t xml:space="preserve">    "rates": {</t>
        </is>
      </c>
    </row>
    <row r="416" ht="15" customHeight="1" s="38">
      <c r="A416" s="84" t="inlineStr">
        <is>
          <t xml:space="preserve">      "integrated": 260,</t>
        </is>
      </c>
    </row>
    <row r="417" ht="15" customHeight="1" s="38">
      <c r="A417" s="84" t="inlineStr">
        <is>
          <t xml:space="preserve">      "dedicated": 520,</t>
        </is>
      </c>
    </row>
    <row r="418" ht="15" customHeight="1" s="38">
      <c r="A418" s="84" t="inlineStr">
        <is>
          <t xml:space="preserve">      "short": 160</t>
        </is>
      </c>
    </row>
    <row r="419" ht="15" customHeight="1" s="38">
      <c r="A419" s="84" t="inlineStr">
        <is>
          <t xml:space="preserve">    },</t>
        </is>
      </c>
    </row>
    <row r="420" ht="15" customHeight="1" s="38">
      <c r="A420" s="84" t="inlineStr">
        <is>
          <t xml:space="preserve">    "avatarInitials": "TO",</t>
        </is>
      </c>
    </row>
    <row r="421" ht="15" customHeight="1" s="38">
      <c r="A421" s="84" t="inlineStr">
        <is>
          <t xml:space="preserve">    "avatarColor": "#34495E",</t>
        </is>
      </c>
    </row>
    <row r="422" ht="15" customHeight="1" s="38">
      <c r="A422" s="84" t="inlineStr">
        <is>
          <t xml:space="preserve">    "bio": "Desk setups under a real budget, with the parts that were not worth it named out loud.",</t>
        </is>
      </c>
    </row>
    <row r="423" ht="15" customHeight="1" s="38">
      <c r="A423" s="84" t="inlineStr">
        <is>
          <t xml:space="preserve">    "languages": [</t>
        </is>
      </c>
    </row>
    <row r="424" ht="15" customHeight="1" s="38">
      <c r="A424" s="84" t="inlineStr">
        <is>
          <t xml:space="preserve">      "English"</t>
        </is>
      </c>
    </row>
    <row r="425" ht="15" customHeight="1" s="38">
      <c r="A425" s="84" t="inlineStr">
        <is>
          <t xml:space="preserve">    ],</t>
        </is>
      </c>
    </row>
    <row r="426" ht="15" customHeight="1" s="38">
      <c r="A426" s="84" t="inlineStr">
        <is>
          <t xml:space="preserve">    "formatsOffered": [</t>
        </is>
      </c>
    </row>
    <row r="427" ht="15" customHeight="1" s="38">
      <c r="A427" s="84" t="inlineStr">
        <is>
          <t xml:space="preserve">      "Integrated",</t>
        </is>
      </c>
    </row>
    <row r="428" ht="15" customHeight="1" s="38">
      <c r="A428" s="84" t="inlineStr">
        <is>
          <t xml:space="preserve">      "Dedicated"</t>
        </is>
      </c>
    </row>
    <row r="429" ht="15" customHeight="1" s="38">
      <c r="A429" s="84" t="inlineStr">
        <is>
          <t xml:space="preserve">    ],</t>
        </is>
      </c>
    </row>
    <row r="430" ht="15" customHeight="1" s="38">
      <c r="A430" s="84" t="inlineStr">
        <is>
          <t xml:space="preserve">    "turnaroundDays": 10,</t>
        </is>
      </c>
    </row>
    <row r="431" ht="15" customHeight="1" s="38">
      <c r="A431" s="84" t="inlineStr">
        <is>
          <t xml:space="preserve">    "workedWith": [</t>
        </is>
      </c>
    </row>
    <row r="432" ht="15" customHeight="1" s="38">
      <c r="A432" s="84" t="inlineStr">
        <is>
          <t xml:space="preserve">      "Office Furniture",</t>
        </is>
      </c>
    </row>
    <row r="433" ht="15" customHeight="1" s="38">
      <c r="A433" s="84" t="inlineStr">
        <is>
          <t xml:space="preserve">      "Accessories"</t>
        </is>
      </c>
    </row>
    <row r="434" ht="15" customHeight="1" s="38">
      <c r="A434" s="84" t="inlineStr">
        <is>
          <t xml:space="preserve">    ],</t>
        </is>
      </c>
    </row>
    <row r="435" ht="15" customHeight="1" s="38">
      <c r="A435" s="84" t="inlineStr">
        <is>
          <t xml:space="preserve">    "recentVideos": [</t>
        </is>
      </c>
    </row>
    <row r="436" ht="15" customHeight="1" s="38">
      <c r="A436" s="84" t="inlineStr">
        <is>
          <t xml:space="preserve">      {</t>
        </is>
      </c>
    </row>
    <row r="437" ht="15" customHeight="1" s="38">
      <c r="A437" s="84" t="inlineStr">
        <is>
          <t xml:space="preserve">        "title": "My $400 Desk Setup (No Sponsor)",</t>
        </is>
      </c>
    </row>
    <row r="438" ht="15" customHeight="1" s="38">
      <c r="A438" s="84" t="inlineStr">
        <is>
          <t xml:space="preserve">        "daysAgo": 9,</t>
        </is>
      </c>
    </row>
    <row r="439" ht="15" customHeight="1" s="38">
      <c r="A439" s="84" t="inlineStr">
        <is>
          <t xml:space="preserve">        "views": 6100,</t>
        </is>
      </c>
    </row>
    <row r="440" ht="15" customHeight="1" s="38">
      <c r="A440" s="84" t="inlineStr">
        <is>
          <t xml:space="preserve">        "likes": 540,</t>
        </is>
      </c>
    </row>
    <row r="441" ht="15" customHeight="1" s="38">
      <c r="A441" s="84" t="inlineStr">
        <is>
          <t xml:space="preserve">        "comments": 92,</t>
        </is>
      </c>
    </row>
    <row r="442" ht="15" customHeight="1" s="38">
      <c r="A442" s="84" t="inlineStr">
        <is>
          <t xml:space="preserve">        "hadSponsor": false,</t>
        </is>
      </c>
    </row>
    <row r="443" ht="15" customHeight="1" s="38">
      <c r="A443" s="84" t="inlineStr">
        <is>
          <t xml:space="preserve">        "topicTags": [</t>
        </is>
      </c>
    </row>
    <row r="444" ht="15" customHeight="1" s="38">
      <c r="A444" s="84" t="inlineStr">
        <is>
          <t xml:space="preserve">          "desk-setup",</t>
        </is>
      </c>
    </row>
    <row r="445" ht="15" customHeight="1" s="38">
      <c r="A445" s="84" t="inlineStr">
        <is>
          <t xml:space="preserve">          "budget",</t>
        </is>
      </c>
    </row>
    <row r="446" ht="15" customHeight="1" s="38">
      <c r="A446" s="84" t="inlineStr">
        <is>
          <t xml:space="preserve">          "workspace"</t>
        </is>
      </c>
    </row>
    <row r="447" ht="15" customHeight="1" s="38">
      <c r="A447" s="84" t="inlineStr">
        <is>
          <t xml:space="preserve">        ]</t>
        </is>
      </c>
    </row>
    <row r="448" ht="15" customHeight="1" s="38">
      <c r="A448" s="84" t="inlineStr">
        <is>
          <t xml:space="preserve">      },</t>
        </is>
      </c>
    </row>
    <row r="449" ht="15" customHeight="1" s="38">
      <c r="A449" s="84" t="inlineStr">
        <is>
          <t xml:space="preserve">      {</t>
        </is>
      </c>
    </row>
    <row r="450" ht="15" customHeight="1" s="38">
      <c r="A450" s="84" t="inlineStr">
        <is>
          <t xml:space="preserve">        "title": "Cheap Monitor Arms - Which One Bends?",</t>
        </is>
      </c>
    </row>
    <row r="451" ht="15" customHeight="1" s="38">
      <c r="A451" s="84" t="inlineStr">
        <is>
          <t xml:space="preserve">        "daysAgo": 18,</t>
        </is>
      </c>
    </row>
    <row r="452" ht="15" customHeight="1" s="38">
      <c r="A452" s="84" t="inlineStr">
        <is>
          <t xml:space="preserve">        "views": 4800,</t>
        </is>
      </c>
    </row>
    <row r="453" ht="15" customHeight="1" s="38">
      <c r="A453" s="84" t="inlineStr">
        <is>
          <t xml:space="preserve">        "likes": 420,</t>
        </is>
      </c>
    </row>
    <row r="454" ht="15" customHeight="1" s="38">
      <c r="A454" s="84" t="inlineStr">
        <is>
          <t xml:space="preserve">        "comments": 71,</t>
        </is>
      </c>
    </row>
    <row r="455" ht="15" customHeight="1" s="38">
      <c r="A455" s="84" t="inlineStr">
        <is>
          <t xml:space="preserve">        "hadSponsor": false,</t>
        </is>
      </c>
    </row>
    <row r="456" ht="15" customHeight="1" s="38">
      <c r="A456" s="84" t="inlineStr">
        <is>
          <t xml:space="preserve">        "topicTags": [</t>
        </is>
      </c>
    </row>
    <row r="457" ht="15" customHeight="1" s="38">
      <c r="A457" s="84" t="inlineStr">
        <is>
          <t xml:space="preserve">          "accessories",</t>
        </is>
      </c>
    </row>
    <row r="458" ht="15" customHeight="1" s="38">
      <c r="A458" s="84" t="inlineStr">
        <is>
          <t xml:space="preserve">          "stress-test"</t>
        </is>
      </c>
    </row>
    <row r="459" ht="15" customHeight="1" s="38">
      <c r="A459" s="84" t="inlineStr">
        <is>
          <t xml:space="preserve">        ]</t>
        </is>
      </c>
    </row>
    <row r="460" ht="15" customHeight="1" s="38">
      <c r="A460" s="84" t="inlineStr">
        <is>
          <t xml:space="preserve">      },</t>
        </is>
      </c>
    </row>
    <row r="461" ht="15" customHeight="1" s="38">
      <c r="A461" s="84" t="inlineStr">
        <is>
          <t xml:space="preserve">      {</t>
        </is>
      </c>
    </row>
    <row r="462" ht="15" customHeight="1" s="38">
      <c r="A462" s="84" t="inlineStr">
        <is>
          <t xml:space="preserve">        "title": "I Replaced My Mouse With a Trackball for a Month",</t>
        </is>
      </c>
    </row>
    <row r="463" ht="15" customHeight="1" s="38">
      <c r="A463" s="84" t="inlineStr">
        <is>
          <t xml:space="preserve">        "daysAgo": 27,</t>
        </is>
      </c>
    </row>
    <row r="464" ht="15" customHeight="1" s="38">
      <c r="A464" s="84" t="inlineStr">
        <is>
          <t xml:space="preserve">        "views": 5300,</t>
        </is>
      </c>
    </row>
    <row r="465" ht="15" customHeight="1" s="38">
      <c r="A465" s="84" t="inlineStr">
        <is>
          <t xml:space="preserve">        "likes": 470,</t>
        </is>
      </c>
    </row>
    <row r="466" ht="15" customHeight="1" s="38">
      <c r="A466" s="84" t="inlineStr">
        <is>
          <t xml:space="preserve">        "comments": 80,</t>
        </is>
      </c>
    </row>
    <row r="467" ht="15" customHeight="1" s="38">
      <c r="A467" s="84" t="inlineStr">
        <is>
          <t xml:space="preserve">        "hadSponsor": true,</t>
        </is>
      </c>
    </row>
    <row r="468" ht="15" customHeight="1" s="38">
      <c r="A468" s="84" t="inlineStr">
        <is>
          <t xml:space="preserve">        "topicTags": [</t>
        </is>
      </c>
    </row>
    <row r="469" ht="15" customHeight="1" s="38">
      <c r="A469" s="84" t="inlineStr">
        <is>
          <t xml:space="preserve">          "peripherals",</t>
        </is>
      </c>
    </row>
    <row r="470" ht="15" customHeight="1" s="38">
      <c r="A470" s="84" t="inlineStr">
        <is>
          <t xml:space="preserve">          "long-term-test"</t>
        </is>
      </c>
    </row>
    <row r="471" ht="15" customHeight="1" s="38">
      <c r="A471" s="84" t="inlineStr">
        <is>
          <t xml:space="preserve">        ]</t>
        </is>
      </c>
    </row>
    <row r="472" ht="15" customHeight="1" s="38">
      <c r="A472" s="84" t="inlineStr">
        <is>
          <t xml:space="preserve">      }</t>
        </is>
      </c>
    </row>
    <row r="473" ht="15" customHeight="1" s="38">
      <c r="A473" s="84" t="inlineStr">
        <is>
          <t xml:space="preserve">    ]</t>
        </is>
      </c>
    </row>
    <row r="474" ht="15" customHeight="1" s="38">
      <c r="A474" s="84" t="inlineStr">
        <is>
          <t xml:space="preserve">  },</t>
        </is>
      </c>
    </row>
    <row r="475" ht="15" customHeight="1" s="38">
      <c r="A475" s="84" t="inlineStr">
        <is>
          <t xml:space="preserve">  {</t>
        </is>
      </c>
    </row>
    <row r="476" ht="15" customHeight="1" s="38">
      <c r="A476" s="84" t="inlineStr">
        <is>
          <t xml:space="preserve">    "id": "hannah-weiss",</t>
        </is>
      </c>
    </row>
    <row r="477" ht="15" customHeight="1" s="38">
      <c r="A477" s="84" t="inlineStr">
        <is>
          <t xml:space="preserve">    "name": "Hannah Weiss",</t>
        </is>
      </c>
    </row>
    <row r="478" ht="15" customHeight="1" s="38">
      <c r="A478" s="84" t="inlineStr">
        <is>
          <t xml:space="preserve">    "handle": "@hannahliftsheavy",</t>
        </is>
      </c>
    </row>
    <row r="479" ht="15" customHeight="1" s="38">
      <c r="A479" s="84" t="inlineStr">
        <is>
          <t xml:space="preserve">    "category": "Fitness",</t>
        </is>
      </c>
    </row>
    <row r="480" ht="15" customHeight="1" s="38">
      <c r="A480" s="84" t="inlineStr">
        <is>
          <t xml:space="preserve">    "tier": "Nano",</t>
        </is>
      </c>
    </row>
    <row r="481" ht="15" customHeight="1" s="38">
      <c r="A481" s="84" t="inlineStr">
        <is>
          <t xml:space="preserve">    "subscribers": 9100,</t>
        </is>
      </c>
    </row>
    <row r="482" ht="15" customHeight="1" s="38">
      <c r="A482" s="84" t="inlineStr">
        <is>
          <t xml:space="preserve">    "avgViews": 6800,</t>
        </is>
      </c>
    </row>
    <row r="483" ht="15" customHeight="1" s="38">
      <c r="A483" s="84" t="inlineStr">
        <is>
          <t xml:space="preserve">    "engagementRate": 0.102,</t>
        </is>
      </c>
    </row>
    <row r="484" ht="15" customHeight="1" s="38">
      <c r="A484" s="84" t="inlineStr">
        <is>
          <t xml:space="preserve">    "channelVerified": false,</t>
        </is>
      </c>
    </row>
    <row r="485" ht="15" customHeight="1" s="38">
      <c r="A485" s="84" t="inlineStr">
        <is>
          <t xml:space="preserve">    "safetyScore": 94,</t>
        </is>
      </c>
    </row>
    <row r="486" ht="15" customHeight="1" s="38">
      <c r="A486" s="84" t="inlineStr">
        <is>
          <t xml:space="preserve">    "audienceAge": "25-34",</t>
        </is>
      </c>
    </row>
    <row r="487" ht="15" customHeight="1" s="38">
      <c r="A487" s="84" t="inlineStr">
        <is>
          <t xml:space="preserve">    "audienceGender": "58% F",</t>
        </is>
      </c>
    </row>
    <row r="488" ht="15" customHeight="1" s="38">
      <c r="A488" s="84" t="inlineStr">
        <is>
          <t xml:space="preserve">    "topCountry": "US",</t>
        </is>
      </c>
    </row>
    <row r="489" ht="15" customHeight="1" s="38">
      <c r="A489" s="84" t="inlineStr">
        <is>
          <t xml:space="preserve">    "uploadCadence": "2 / week",</t>
        </is>
      </c>
    </row>
    <row r="490" ht="15" customHeight="1" s="38">
      <c r="A490" s="84" t="inlineStr">
        <is>
          <t xml:space="preserve">    "avgLengthMin": 13,</t>
        </is>
      </c>
    </row>
    <row r="491" ht="15" customHeight="1" s="38">
      <c r="A491" s="84" t="inlineStr">
        <is>
          <t xml:space="preserve">    "rates": {</t>
        </is>
      </c>
    </row>
    <row r="492" ht="15" customHeight="1" s="38">
      <c r="A492" s="84" t="inlineStr">
        <is>
          <t xml:space="preserve">      "integrated": 300,</t>
        </is>
      </c>
    </row>
    <row r="493" ht="15" customHeight="1" s="38">
      <c r="A493" s="84" t="inlineStr">
        <is>
          <t xml:space="preserve">      "dedicated": 620,</t>
        </is>
      </c>
    </row>
    <row r="494" ht="15" customHeight="1" s="38">
      <c r="A494" s="84" t="inlineStr">
        <is>
          <t xml:space="preserve">      "short": 190</t>
        </is>
      </c>
    </row>
    <row r="495" ht="15" customHeight="1" s="38">
      <c r="A495" s="84" t="inlineStr">
        <is>
          <t xml:space="preserve">    },</t>
        </is>
      </c>
    </row>
    <row r="496" ht="15" customHeight="1" s="38">
      <c r="A496" s="84" t="inlineStr">
        <is>
          <t xml:space="preserve">    "avatarInitials": "HW",</t>
        </is>
      </c>
    </row>
    <row r="497" ht="15" customHeight="1" s="38">
      <c r="A497" s="84" t="inlineStr">
        <is>
          <t xml:space="preserve">    "avatarColor": "#16A085",</t>
        </is>
      </c>
    </row>
    <row r="498" ht="15" customHeight="1" s="38">
      <c r="A498" s="84" t="inlineStr">
        <is>
          <t xml:space="preserve">    "bio": "Strength training explained from first principles, with form checks from viewers.",</t>
        </is>
      </c>
    </row>
    <row r="499" ht="15" customHeight="1" s="38">
      <c r="A499" s="84" t="inlineStr">
        <is>
          <t xml:space="preserve">    "languages": [</t>
        </is>
      </c>
    </row>
    <row r="500" ht="15" customHeight="1" s="38">
      <c r="A500" s="84" t="inlineStr">
        <is>
          <t xml:space="preserve">      "English",</t>
        </is>
      </c>
    </row>
    <row r="501" ht="15" customHeight="1" s="38">
      <c r="A501" s="84" t="inlineStr">
        <is>
          <t xml:space="preserve">      "German"</t>
        </is>
      </c>
    </row>
    <row r="502" ht="15" customHeight="1" s="38">
      <c r="A502" s="84" t="inlineStr">
        <is>
          <t xml:space="preserve">    ],</t>
        </is>
      </c>
    </row>
    <row r="503" ht="15" customHeight="1" s="38">
      <c r="A503" s="84" t="inlineStr">
        <is>
          <t xml:space="preserve">    "formatsOffered": [</t>
        </is>
      </c>
    </row>
    <row r="504" ht="15" customHeight="1" s="38">
      <c r="A504" s="84" t="inlineStr">
        <is>
          <t xml:space="preserve">      "Integrated",</t>
        </is>
      </c>
    </row>
    <row r="505" ht="15" customHeight="1" s="38">
      <c r="A505" s="84" t="inlineStr">
        <is>
          <t xml:space="preserve">      "Short"</t>
        </is>
      </c>
    </row>
    <row r="506" ht="15" customHeight="1" s="38">
      <c r="A506" s="84" t="inlineStr">
        <is>
          <t xml:space="preserve">    ],</t>
        </is>
      </c>
    </row>
    <row r="507" ht="15" customHeight="1" s="38">
      <c r="A507" s="84" t="inlineStr">
        <is>
          <t xml:space="preserve">    "turnaroundDays": 7,</t>
        </is>
      </c>
    </row>
    <row r="508" ht="15" customHeight="1" s="38">
      <c r="A508" s="84" t="inlineStr">
        <is>
          <t xml:space="preserve">    "workedWith": [</t>
        </is>
      </c>
    </row>
    <row r="509" ht="15" customHeight="1" s="38">
      <c r="A509" s="84" t="inlineStr">
        <is>
          <t xml:space="preserve">      "Fitness Equipment",</t>
        </is>
      </c>
    </row>
    <row r="510" ht="15" customHeight="1" s="38">
      <c r="A510" s="84" t="inlineStr">
        <is>
          <t xml:space="preserve">      "Supplements"</t>
        </is>
      </c>
    </row>
    <row r="511" ht="15" customHeight="1" s="38">
      <c r="A511" s="84" t="inlineStr">
        <is>
          <t xml:space="preserve">    ],</t>
        </is>
      </c>
    </row>
    <row r="512" ht="15" customHeight="1" s="38">
      <c r="A512" s="84" t="inlineStr">
        <is>
          <t xml:space="preserve">    "recentVideos": [</t>
        </is>
      </c>
    </row>
    <row r="513" ht="15" customHeight="1" s="38">
      <c r="A513" s="84" t="inlineStr">
        <is>
          <t xml:space="preserve">      {</t>
        </is>
      </c>
    </row>
    <row r="514" ht="15" customHeight="1" s="38">
      <c r="A514" s="84" t="inlineStr">
        <is>
          <t xml:space="preserve">        "title": "Deadlift Form Check - 12 Viewers Submitted",</t>
        </is>
      </c>
    </row>
    <row r="515" ht="15" customHeight="1" s="38">
      <c r="A515" s="84" t="inlineStr">
        <is>
          <t xml:space="preserve">        "daysAgo": 5,</t>
        </is>
      </c>
    </row>
    <row r="516" ht="15" customHeight="1" s="38">
      <c r="A516" s="84" t="inlineStr">
        <is>
          <t xml:space="preserve">        "views": 7400,</t>
        </is>
      </c>
    </row>
    <row r="517" ht="15" customHeight="1" s="38">
      <c r="A517" s="84" t="inlineStr">
        <is>
          <t xml:space="preserve">        "likes": 760,</t>
        </is>
      </c>
    </row>
    <row r="518" ht="15" customHeight="1" s="38">
      <c r="A518" s="84" t="inlineStr">
        <is>
          <t xml:space="preserve">        "comments": 130,</t>
        </is>
      </c>
    </row>
    <row r="519" ht="15" customHeight="1" s="38">
      <c r="A519" s="84" t="inlineStr">
        <is>
          <t xml:space="preserve">        "hadSponsor": false,</t>
        </is>
      </c>
    </row>
    <row r="520" ht="15" customHeight="1" s="38">
      <c r="A520" s="84" t="inlineStr">
        <is>
          <t xml:space="preserve">        "topicTags": [</t>
        </is>
      </c>
    </row>
    <row r="521" ht="15" customHeight="1" s="38">
      <c r="A521" s="84" t="inlineStr">
        <is>
          <t xml:space="preserve">          "strength",</t>
        </is>
      </c>
    </row>
    <row r="522" ht="15" customHeight="1" s="38">
      <c r="A522" s="84" t="inlineStr">
        <is>
          <t xml:space="preserve">          "form",</t>
        </is>
      </c>
    </row>
    <row r="523" ht="15" customHeight="1" s="38">
      <c r="A523" s="84" t="inlineStr">
        <is>
          <t xml:space="preserve">          "community"</t>
        </is>
      </c>
    </row>
    <row r="524" ht="15" customHeight="1" s="38">
      <c r="A524" s="84" t="inlineStr">
        <is>
          <t xml:space="preserve">        ]</t>
        </is>
      </c>
    </row>
    <row r="525" ht="15" customHeight="1" s="38">
      <c r="A525" s="84" t="inlineStr">
        <is>
          <t xml:space="preserve">      },</t>
        </is>
      </c>
    </row>
    <row r="526" ht="15" customHeight="1" s="38">
      <c r="A526" s="84" t="inlineStr">
        <is>
          <t xml:space="preserve">      {</t>
        </is>
      </c>
    </row>
    <row r="527" ht="15" customHeight="1" s="38">
      <c r="A527" s="84" t="inlineStr">
        <is>
          <t xml:space="preserve">        "title": "What Progressive Overload Actually Means",</t>
        </is>
      </c>
    </row>
    <row r="528" ht="15" customHeight="1" s="38">
      <c r="A528" s="84" t="inlineStr">
        <is>
          <t xml:space="preserve">        "daysAgo": 15,</t>
        </is>
      </c>
    </row>
    <row r="529" ht="15" customHeight="1" s="38">
      <c r="A529" s="84" t="inlineStr">
        <is>
          <t xml:space="preserve">        "views": 6200,</t>
        </is>
      </c>
    </row>
    <row r="530" ht="15" customHeight="1" s="38">
      <c r="A530" s="84" t="inlineStr">
        <is>
          <t xml:space="preserve">        "likes": 630,</t>
        </is>
      </c>
    </row>
    <row r="531" ht="15" customHeight="1" s="38">
      <c r="A531" s="84" t="inlineStr">
        <is>
          <t xml:space="preserve">        "comments": 105,</t>
        </is>
      </c>
    </row>
    <row r="532" ht="15" customHeight="1" s="38">
      <c r="A532" s="84" t="inlineStr">
        <is>
          <t xml:space="preserve">        "hadSponsor": false,</t>
        </is>
      </c>
    </row>
    <row r="533" ht="15" customHeight="1" s="38">
      <c r="A533" s="84" t="inlineStr">
        <is>
          <t xml:space="preserve">        "topicTags": [</t>
        </is>
      </c>
    </row>
    <row r="534" ht="15" customHeight="1" s="38">
      <c r="A534" s="84" t="inlineStr">
        <is>
          <t xml:space="preserve">          "training-theory",</t>
        </is>
      </c>
    </row>
    <row r="535" ht="15" customHeight="1" s="38">
      <c r="A535" s="84" t="inlineStr">
        <is>
          <t xml:space="preserve">          "explainer"</t>
        </is>
      </c>
    </row>
    <row r="536" ht="15" customHeight="1" s="38">
      <c r="A536" s="84" t="inlineStr">
        <is>
          <t xml:space="preserve">        ]</t>
        </is>
      </c>
    </row>
    <row r="537" ht="15" customHeight="1" s="38">
      <c r="A537" s="84" t="inlineStr">
        <is>
          <t xml:space="preserve">      },</t>
        </is>
      </c>
    </row>
    <row r="538" ht="15" customHeight="1" s="38">
      <c r="A538" s="84" t="inlineStr">
        <is>
          <t xml:space="preserve">      {</t>
        </is>
      </c>
    </row>
    <row r="539" ht="15" customHeight="1" s="38">
      <c r="A539" s="84" t="inlineStr">
        <is>
          <t xml:space="preserve">        "title": "I Trained Like a Powerlifter for 8 Weeks",</t>
        </is>
      </c>
    </row>
    <row r="540" ht="15" customHeight="1" s="38">
      <c r="A540" s="84" t="inlineStr">
        <is>
          <t xml:space="preserve">        "daysAgo": 24,</t>
        </is>
      </c>
    </row>
    <row r="541" ht="15" customHeight="1" s="38">
      <c r="A541" s="84" t="inlineStr">
        <is>
          <t xml:space="preserve">        "views": 6900,</t>
        </is>
      </c>
    </row>
    <row r="542" ht="15" customHeight="1" s="38">
      <c r="A542" s="84" t="inlineStr">
        <is>
          <t xml:space="preserve">        "likes": 700,</t>
        </is>
      </c>
    </row>
    <row r="543" ht="15" customHeight="1" s="38">
      <c r="A543" s="84" t="inlineStr">
        <is>
          <t xml:space="preserve">        "comments": 118,</t>
        </is>
      </c>
    </row>
    <row r="544" ht="15" customHeight="1" s="38">
      <c r="A544" s="84" t="inlineStr">
        <is>
          <t xml:space="preserve">        "hadSponsor": false,</t>
        </is>
      </c>
    </row>
    <row r="545" ht="15" customHeight="1" s="38">
      <c r="A545" s="84" t="inlineStr">
        <is>
          <t xml:space="preserve">        "topicTags": [</t>
        </is>
      </c>
    </row>
    <row r="546" ht="15" customHeight="1" s="38">
      <c r="A546" s="84" t="inlineStr">
        <is>
          <t xml:space="preserve">          "challenge",</t>
        </is>
      </c>
    </row>
    <row r="547" ht="15" customHeight="1" s="38">
      <c r="A547" s="84" t="inlineStr">
        <is>
          <t xml:space="preserve">          "strength",</t>
        </is>
      </c>
    </row>
    <row r="548" ht="15" customHeight="1" s="38">
      <c r="A548" s="84" t="inlineStr">
        <is>
          <t xml:space="preserve">          "program"</t>
        </is>
      </c>
    </row>
    <row r="549" ht="15" customHeight="1" s="38">
      <c r="A549" s="84" t="inlineStr">
        <is>
          <t xml:space="preserve">        ]</t>
        </is>
      </c>
    </row>
    <row r="550" ht="15" customHeight="1" s="38">
      <c r="A550" s="84" t="inlineStr">
        <is>
          <t xml:space="preserve">      }</t>
        </is>
      </c>
    </row>
    <row r="551" ht="15" customHeight="1" s="38">
      <c r="A551" s="84" t="inlineStr">
        <is>
          <t xml:space="preserve">    ]</t>
        </is>
      </c>
    </row>
    <row r="552" ht="15" customHeight="1" s="38">
      <c r="A552" s="84" t="inlineStr">
        <is>
          <t xml:space="preserve">  },</t>
        </is>
      </c>
    </row>
    <row r="553" ht="15" customHeight="1" s="38">
      <c r="A553" s="84" t="inlineStr">
        <is>
          <t xml:space="preserve">  {</t>
        </is>
      </c>
    </row>
    <row r="554" ht="15" customHeight="1" s="38">
      <c r="A554" s="84" t="inlineStr">
        <is>
          <t xml:space="preserve">    "id": "luis-moreno",</t>
        </is>
      </c>
    </row>
    <row r="555" ht="15" customHeight="1" s="38">
      <c r="A555" s="84" t="inlineStr">
        <is>
          <t xml:space="preserve">    "name": "Luis Moreno",</t>
        </is>
      </c>
    </row>
    <row r="556" ht="15" customHeight="1" s="38">
      <c r="A556" s="84" t="inlineStr">
        <is>
          <t xml:space="preserve">    "handle": "@luisplaysindie",</t>
        </is>
      </c>
    </row>
    <row r="557" ht="15" customHeight="1" s="38">
      <c r="A557" s="84" t="inlineStr">
        <is>
          <t xml:space="preserve">    "category": "Gaming",</t>
        </is>
      </c>
    </row>
    <row r="558" ht="15" customHeight="1" s="38">
      <c r="A558" s="84" t="inlineStr">
        <is>
          <t xml:space="preserve">    "tier": "Nano",</t>
        </is>
      </c>
    </row>
    <row r="559" ht="15" customHeight="1" s="38">
      <c r="A559" s="84" t="inlineStr">
        <is>
          <t xml:space="preserve">    "subscribers": 6500,</t>
        </is>
      </c>
    </row>
    <row r="560" ht="15" customHeight="1" s="38">
      <c r="A560" s="84" t="inlineStr">
        <is>
          <t xml:space="preserve">    "avgViews": 12400,</t>
        </is>
      </c>
    </row>
    <row r="561" ht="15" customHeight="1" s="38">
      <c r="A561" s="84" t="inlineStr">
        <is>
          <t xml:space="preserve">    "engagementRate": 0.141,</t>
        </is>
      </c>
    </row>
    <row r="562" ht="15" customHeight="1" s="38">
      <c r="A562" s="84" t="inlineStr">
        <is>
          <t xml:space="preserve">    "channelVerified": true,</t>
        </is>
      </c>
    </row>
    <row r="563" ht="15" customHeight="1" s="38">
      <c r="A563" s="84" t="inlineStr">
        <is>
          <t xml:space="preserve">    "safetyScore": 88,</t>
        </is>
      </c>
    </row>
    <row r="564" ht="15" customHeight="1" s="38">
      <c r="A564" s="84" t="inlineStr">
        <is>
          <t xml:space="preserve">    "audienceAge": "18-24",</t>
        </is>
      </c>
    </row>
    <row r="565" ht="15" customHeight="1" s="38">
      <c r="A565" s="84" t="inlineStr">
        <is>
          <t xml:space="preserve">    "audienceGender": "64% M",</t>
        </is>
      </c>
    </row>
    <row r="566" ht="15" customHeight="1" s="38">
      <c r="A566" s="84" t="inlineStr">
        <is>
          <t xml:space="preserve">    "topCountry": "US",</t>
        </is>
      </c>
    </row>
    <row r="567" ht="15" customHeight="1" s="38">
      <c r="A567" s="84" t="inlineStr">
        <is>
          <t xml:space="preserve">    "uploadCadence": "4 / week",</t>
        </is>
      </c>
    </row>
    <row r="568" ht="15" customHeight="1" s="38">
      <c r="A568" s="84" t="inlineStr">
        <is>
          <t xml:space="preserve">    "avgLengthMin": 3,</t>
        </is>
      </c>
    </row>
    <row r="569" ht="15" customHeight="1" s="38">
      <c r="A569" s="84" t="inlineStr">
        <is>
          <t xml:space="preserve">    "rates": {</t>
        </is>
      </c>
    </row>
    <row r="570" ht="15" customHeight="1" s="38">
      <c r="A570" s="84" t="inlineStr">
        <is>
          <t xml:space="preserve">      "integrated": 280,</t>
        </is>
      </c>
    </row>
    <row r="571" ht="15" customHeight="1" s="38">
      <c r="A571" s="84" t="inlineStr">
        <is>
          <t xml:space="preserve">      "dedicated": 560,</t>
        </is>
      </c>
    </row>
    <row r="572" ht="15" customHeight="1" s="38">
      <c r="A572" s="84" t="inlineStr">
        <is>
          <t xml:space="preserve">      "short": 200</t>
        </is>
      </c>
    </row>
    <row r="573" ht="15" customHeight="1" s="38">
      <c r="A573" s="84" t="inlineStr">
        <is>
          <t xml:space="preserve">    },</t>
        </is>
      </c>
    </row>
    <row r="574" ht="15" customHeight="1" s="38">
      <c r="A574" s="84" t="inlineStr">
        <is>
          <t xml:space="preserve">    "avatarInitials": "LM",</t>
        </is>
      </c>
    </row>
    <row r="575" ht="15" customHeight="1" s="38">
      <c r="A575" s="84" t="inlineStr">
        <is>
          <t xml:space="preserve">    "avatarColor": "#8E44AD",</t>
        </is>
      </c>
    </row>
    <row r="576" ht="15" customHeight="1" s="38">
      <c r="A576" s="84" t="inlineStr">
        <is>
          <t xml:space="preserve">    "bio": "Short-form indie game finds, three or four a week, mostly things nobody is covering.",</t>
        </is>
      </c>
    </row>
    <row r="577" ht="15" customHeight="1" s="38">
      <c r="A577" s="84" t="inlineStr">
        <is>
          <t xml:space="preserve">    "languages": [</t>
        </is>
      </c>
    </row>
    <row r="578" ht="15" customHeight="1" s="38">
      <c r="A578" s="84" t="inlineStr">
        <is>
          <t xml:space="preserve">      "English",</t>
        </is>
      </c>
    </row>
    <row r="579" ht="15" customHeight="1" s="38">
      <c r="A579" s="84" t="inlineStr">
        <is>
          <t xml:space="preserve">      "Spanish"</t>
        </is>
      </c>
    </row>
    <row r="580" ht="15" customHeight="1" s="38">
      <c r="A580" s="84" t="inlineStr">
        <is>
          <t xml:space="preserve">    ],</t>
        </is>
      </c>
    </row>
    <row r="581" ht="15" customHeight="1" s="38">
      <c r="A581" s="84" t="inlineStr">
        <is>
          <t xml:space="preserve">    "formatsOffered": [</t>
        </is>
      </c>
    </row>
    <row r="582" ht="15" customHeight="1" s="38">
      <c r="A582" s="84" t="inlineStr">
        <is>
          <t xml:space="preserve">      "Short",</t>
        </is>
      </c>
    </row>
    <row r="583" ht="15" customHeight="1" s="38">
      <c r="A583" s="84" t="inlineStr">
        <is>
          <t xml:space="preserve">      "Integrated"</t>
        </is>
      </c>
    </row>
    <row r="584" ht="15" customHeight="1" s="38">
      <c r="A584" s="84" t="inlineStr">
        <is>
          <t xml:space="preserve">    ],</t>
        </is>
      </c>
    </row>
    <row r="585" ht="15" customHeight="1" s="38">
      <c r="A585" s="84" t="inlineStr">
        <is>
          <t xml:space="preserve">    "turnaroundDays": 5,</t>
        </is>
      </c>
    </row>
    <row r="586" ht="15" customHeight="1" s="38">
      <c r="A586" s="84" t="inlineStr">
        <is>
          <t xml:space="preserve">    "workedWith": [</t>
        </is>
      </c>
    </row>
    <row r="587" ht="15" customHeight="1" s="38">
      <c r="A587" s="84" t="inlineStr">
        <is>
          <t xml:space="preserve">      "Gaming Peripherals",</t>
        </is>
      </c>
    </row>
    <row r="588" ht="15" customHeight="1" s="38">
      <c r="A588" s="84" t="inlineStr">
        <is>
          <t xml:space="preserve">      "Game Publishers"</t>
        </is>
      </c>
    </row>
    <row r="589" ht="15" customHeight="1" s="38">
      <c r="A589" s="84" t="inlineStr">
        <is>
          <t xml:space="preserve">    ],</t>
        </is>
      </c>
    </row>
    <row r="590" ht="15" customHeight="1" s="38">
      <c r="A590" s="84" t="inlineStr">
        <is>
          <t xml:space="preserve">    "recentVideos": [</t>
        </is>
      </c>
    </row>
    <row r="591" ht="15" customHeight="1" s="38">
      <c r="A591" s="84" t="inlineStr">
        <is>
          <t xml:space="preserve">      {</t>
        </is>
      </c>
    </row>
    <row r="592" ht="15" customHeight="1" s="38">
      <c r="A592" s="84" t="inlineStr">
        <is>
          <t xml:space="preserve">        "title": "This Indie Horror Game Broke Me #shorts",</t>
        </is>
      </c>
    </row>
    <row r="593" ht="15" customHeight="1" s="38">
      <c r="A593" s="84" t="inlineStr">
        <is>
          <t xml:space="preserve">        "daysAgo": 3,</t>
        </is>
      </c>
    </row>
    <row r="594" ht="15" customHeight="1" s="38">
      <c r="A594" s="84" t="inlineStr">
        <is>
          <t xml:space="preserve">        "views": 41000,</t>
        </is>
      </c>
    </row>
    <row r="595" ht="15" customHeight="1" s="38">
      <c r="A595" s="84" t="inlineStr">
        <is>
          <t xml:space="preserve">        "likes": 5900,</t>
        </is>
      </c>
    </row>
    <row r="596" ht="15" customHeight="1" s="38">
      <c r="A596" s="84" t="inlineStr">
        <is>
          <t xml:space="preserve">        "comments": 720,</t>
        </is>
      </c>
    </row>
    <row r="597" ht="15" customHeight="1" s="38">
      <c r="A597" s="84" t="inlineStr">
        <is>
          <t xml:space="preserve">        "hadSponsor": false,</t>
        </is>
      </c>
    </row>
    <row r="598" ht="15" customHeight="1" s="38">
      <c r="A598" s="84" t="inlineStr">
        <is>
          <t xml:space="preserve">        "topicTags": [</t>
        </is>
      </c>
    </row>
    <row r="599" ht="15" customHeight="1" s="38">
      <c r="A599" s="84" t="inlineStr">
        <is>
          <t xml:space="preserve">          "shorts",</t>
        </is>
      </c>
    </row>
    <row r="600" ht="15" customHeight="1" s="38">
      <c r="A600" s="84" t="inlineStr">
        <is>
          <t xml:space="preserve">          "horror",</t>
        </is>
      </c>
    </row>
    <row r="601" ht="15" customHeight="1" s="38">
      <c r="A601" s="84" t="inlineStr">
        <is>
          <t xml:space="preserve">          "indie"</t>
        </is>
      </c>
    </row>
    <row r="602" ht="15" customHeight="1" s="38">
      <c r="A602" s="84" t="inlineStr">
        <is>
          <t xml:space="preserve">        ]</t>
        </is>
      </c>
    </row>
    <row r="603" ht="15" customHeight="1" s="38">
      <c r="A603" s="84" t="inlineStr">
        <is>
          <t xml:space="preserve">      },</t>
        </is>
      </c>
    </row>
    <row r="604" ht="15" customHeight="1" s="38">
      <c r="A604" s="84" t="inlineStr">
        <is>
          <t xml:space="preserve">      {</t>
        </is>
      </c>
    </row>
    <row r="605" ht="15" customHeight="1" s="38">
      <c r="A605" s="84" t="inlineStr">
        <is>
          <t xml:space="preserve">        "title": "60 Seconds of the Best Indie Platformer",</t>
        </is>
      </c>
    </row>
    <row r="606" ht="15" customHeight="1" s="38">
      <c r="A606" s="84" t="inlineStr">
        <is>
          <t xml:space="preserve">        "daysAgo": 8,</t>
        </is>
      </c>
    </row>
    <row r="607" ht="15" customHeight="1" s="38">
      <c r="A607" s="84" t="inlineStr">
        <is>
          <t xml:space="preserve">        "views": 18000,</t>
        </is>
      </c>
    </row>
    <row r="608" ht="15" customHeight="1" s="38">
      <c r="A608" s="84" t="inlineStr">
        <is>
          <t xml:space="preserve">        "likes": 2400,</t>
        </is>
      </c>
    </row>
    <row r="609" ht="15" customHeight="1" s="38">
      <c r="A609" s="84" t="inlineStr">
        <is>
          <t xml:space="preserve">        "comments": 310,</t>
        </is>
      </c>
    </row>
    <row r="610" ht="15" customHeight="1" s="38">
      <c r="A610" s="84" t="inlineStr">
        <is>
          <t xml:space="preserve">        "hadSponsor": false,</t>
        </is>
      </c>
    </row>
    <row r="611" ht="15" customHeight="1" s="38">
      <c r="A611" s="84" t="inlineStr">
        <is>
          <t xml:space="preserve">        "topicTags": [</t>
        </is>
      </c>
    </row>
    <row r="612" ht="15" customHeight="1" s="38">
      <c r="A612" s="84" t="inlineStr">
        <is>
          <t xml:space="preserve">          "shorts",</t>
        </is>
      </c>
    </row>
    <row r="613" ht="15" customHeight="1" s="38">
      <c r="A613" s="84" t="inlineStr">
        <is>
          <t xml:space="preserve">          "platformer",</t>
        </is>
      </c>
    </row>
    <row r="614" ht="15" customHeight="1" s="38">
      <c r="A614" s="84" t="inlineStr">
        <is>
          <t xml:space="preserve">          "indie"</t>
        </is>
      </c>
    </row>
    <row r="615" ht="15" customHeight="1" s="38">
      <c r="A615" s="84" t="inlineStr">
        <is>
          <t xml:space="preserve">        ]</t>
        </is>
      </c>
    </row>
    <row r="616" ht="15" customHeight="1" s="38">
      <c r="A616" s="84" t="inlineStr">
        <is>
          <t xml:space="preserve">      },</t>
        </is>
      </c>
    </row>
    <row r="617" ht="15" customHeight="1" s="38">
      <c r="A617" s="84" t="inlineStr">
        <is>
          <t xml:space="preserve">      {</t>
        </is>
      </c>
    </row>
    <row r="618" ht="15" customHeight="1" s="38">
      <c r="A618" s="84" t="inlineStr">
        <is>
          <t xml:space="preserve">        "title": "Full Playthrough: A Game Nobody Talks About",</t>
        </is>
      </c>
    </row>
    <row r="619" ht="15" customHeight="1" s="38">
      <c r="A619" s="84" t="inlineStr">
        <is>
          <t xml:space="preserve">        "daysAgo": 19,</t>
        </is>
      </c>
    </row>
    <row r="620" ht="15" customHeight="1" s="38">
      <c r="A620" s="84" t="inlineStr">
        <is>
          <t xml:space="preserve">        "views": 7200,</t>
        </is>
      </c>
    </row>
    <row r="621" ht="15" customHeight="1" s="38">
      <c r="A621" s="84" t="inlineStr">
        <is>
          <t xml:space="preserve">        "likes": 890,</t>
        </is>
      </c>
    </row>
    <row r="622" ht="15" customHeight="1" s="38">
      <c r="A622" s="84" t="inlineStr">
        <is>
          <t xml:space="preserve">        "comments": 140,</t>
        </is>
      </c>
    </row>
    <row r="623" ht="15" customHeight="1" s="38">
      <c r="A623" s="84" t="inlineStr">
        <is>
          <t xml:space="preserve">        "hadSponsor": false,</t>
        </is>
      </c>
    </row>
    <row r="624" ht="15" customHeight="1" s="38">
      <c r="A624" s="84" t="inlineStr">
        <is>
          <t xml:space="preserve">        "topicTags": [</t>
        </is>
      </c>
    </row>
    <row r="625" ht="15" customHeight="1" s="38">
      <c r="A625" s="84" t="inlineStr">
        <is>
          <t xml:space="preserve">          "long-form",</t>
        </is>
      </c>
    </row>
    <row r="626" ht="15" customHeight="1" s="38">
      <c r="A626" s="84" t="inlineStr">
        <is>
          <t xml:space="preserve">          "indie",</t>
        </is>
      </c>
    </row>
    <row r="627" ht="15" customHeight="1" s="38">
      <c r="A627" s="84" t="inlineStr">
        <is>
          <t xml:space="preserve">          "playthrough"</t>
        </is>
      </c>
    </row>
    <row r="628" ht="15" customHeight="1" s="38">
      <c r="A628" s="84" t="inlineStr">
        <is>
          <t xml:space="preserve">        ]</t>
        </is>
      </c>
    </row>
    <row r="629" ht="15" customHeight="1" s="38">
      <c r="A629" s="84" t="inlineStr">
        <is>
          <t xml:space="preserve">      }</t>
        </is>
      </c>
    </row>
    <row r="630" ht="15" customHeight="1" s="38">
      <c r="A630" s="84" t="inlineStr">
        <is>
          <t xml:space="preserve">    ]</t>
        </is>
      </c>
    </row>
    <row r="631" ht="15" customHeight="1" s="38">
      <c r="A631" s="84" t="inlineStr">
        <is>
          <t xml:space="preserve">  },</t>
        </is>
      </c>
    </row>
    <row r="632" ht="15" customHeight="1" s="38">
      <c r="A632" s="84" t="inlineStr">
        <is>
          <t xml:space="preserve">  {</t>
        </is>
      </c>
    </row>
    <row r="633" ht="15" customHeight="1" s="38">
      <c r="A633" s="84" t="inlineStr">
        <is>
          <t xml:space="preserve">    "id": "nia-thompson",</t>
        </is>
      </c>
    </row>
    <row r="634" ht="15" customHeight="1" s="38">
      <c r="A634" s="84" t="inlineStr">
        <is>
          <t xml:space="preserve">    "name": "Nia Thompson",</t>
        </is>
      </c>
    </row>
    <row r="635" ht="15" customHeight="1" s="38">
      <c r="A635" s="84" t="inlineStr">
        <is>
          <t xml:space="preserve">    "handle": "@niathreadcount",</t>
        </is>
      </c>
    </row>
    <row r="636" ht="15" customHeight="1" s="38">
      <c r="A636" s="84" t="inlineStr">
        <is>
          <t xml:space="preserve">    "category": "Fashion &amp; Beauty",</t>
        </is>
      </c>
    </row>
    <row r="637" ht="15" customHeight="1" s="38">
      <c r="A637" s="84" t="inlineStr">
        <is>
          <t xml:space="preserve">    "tier": "Micro",</t>
        </is>
      </c>
    </row>
    <row r="638" ht="15" customHeight="1" s="38">
      <c r="A638" s="84" t="inlineStr">
        <is>
          <t xml:space="preserve">    "subscribers": 38000,</t>
        </is>
      </c>
    </row>
    <row r="639" ht="15" customHeight="1" s="38">
      <c r="A639" s="84" t="inlineStr">
        <is>
          <t xml:space="preserve">    "avgViews": 19000,</t>
        </is>
      </c>
    </row>
    <row r="640" ht="15" customHeight="1" s="38">
      <c r="A640" s="84" t="inlineStr">
        <is>
          <t xml:space="preserve">    "engagementRate": 0.068,</t>
        </is>
      </c>
    </row>
    <row r="641" ht="15" customHeight="1" s="38">
      <c r="A641" s="84" t="inlineStr">
        <is>
          <t xml:space="preserve">    "channelVerified": true,</t>
        </is>
      </c>
    </row>
    <row r="642" ht="15" customHeight="1" s="38">
      <c r="A642" s="84" t="inlineStr">
        <is>
          <t xml:space="preserve">    "safetyScore": 93,</t>
        </is>
      </c>
    </row>
    <row r="643" ht="15" customHeight="1" s="38">
      <c r="A643" s="84" t="inlineStr">
        <is>
          <t xml:space="preserve">    "audienceAge": "18-34",</t>
        </is>
      </c>
    </row>
    <row r="644" ht="15" customHeight="1" s="38">
      <c r="A644" s="84" t="inlineStr">
        <is>
          <t xml:space="preserve">    "audienceGender": "88% F",</t>
        </is>
      </c>
    </row>
    <row r="645" ht="15" customHeight="1" s="38">
      <c r="A645" s="84" t="inlineStr">
        <is>
          <t xml:space="preserve">    "topCountry": "US",</t>
        </is>
      </c>
    </row>
    <row r="646" ht="15" customHeight="1" s="38">
      <c r="A646" s="84" t="inlineStr">
        <is>
          <t xml:space="preserve">    "uploadCadence": "2 / week",</t>
        </is>
      </c>
    </row>
    <row r="647" ht="15" customHeight="1" s="38">
      <c r="A647" s="84" t="inlineStr">
        <is>
          <t xml:space="preserve">    "avgLengthMin": 12,</t>
        </is>
      </c>
    </row>
    <row r="648" ht="15" customHeight="1" s="38">
      <c r="A648" s="84" t="inlineStr">
        <is>
          <t xml:space="preserve">    "rates": {</t>
        </is>
      </c>
    </row>
    <row r="649" ht="15" customHeight="1" s="38">
      <c r="A649" s="84" t="inlineStr">
        <is>
          <t xml:space="preserve">      "integrated": 700,</t>
        </is>
      </c>
    </row>
    <row r="650" ht="15" customHeight="1" s="38">
      <c r="A650" s="84" t="inlineStr">
        <is>
          <t xml:space="preserve">      "dedicated": 1500,</t>
        </is>
      </c>
    </row>
    <row r="651" ht="15" customHeight="1" s="38">
      <c r="A651" s="84" t="inlineStr">
        <is>
          <t xml:space="preserve">      "short": 420</t>
        </is>
      </c>
    </row>
    <row r="652" ht="15" customHeight="1" s="38">
      <c r="A652" s="84" t="inlineStr">
        <is>
          <t xml:space="preserve">    },</t>
        </is>
      </c>
    </row>
    <row r="653" ht="15" customHeight="1" s="38">
      <c r="A653" s="84" t="inlineStr">
        <is>
          <t xml:space="preserve">    "avatarInitials": "NT",</t>
        </is>
      </c>
    </row>
    <row r="654" ht="15" customHeight="1" s="38">
      <c r="A654" s="84" t="inlineStr">
        <is>
          <t xml:space="preserve">    "avatarColor": "#D35D8B",</t>
        </is>
      </c>
    </row>
    <row r="655" ht="15" customHeight="1" s="38">
      <c r="A655" s="84" t="inlineStr">
        <is>
          <t xml:space="preserve">    "bio": "Thrift flips and capsule wardrobes for people who want fewer, better clothes.",</t>
        </is>
      </c>
    </row>
    <row r="656" ht="15" customHeight="1" s="38">
      <c r="A656" s="84" t="inlineStr">
        <is>
          <t xml:space="preserve">    "languages": [</t>
        </is>
      </c>
    </row>
    <row r="657" ht="15" customHeight="1" s="38">
      <c r="A657" s="84" t="inlineStr">
        <is>
          <t xml:space="preserve">      "English"</t>
        </is>
      </c>
    </row>
    <row r="658" ht="15" customHeight="1" s="38">
      <c r="A658" s="84" t="inlineStr">
        <is>
          <t xml:space="preserve">    ],</t>
        </is>
      </c>
    </row>
    <row r="659" ht="15" customHeight="1" s="38">
      <c r="A659" s="84" t="inlineStr">
        <is>
          <t xml:space="preserve">    "formatsOffered": [</t>
        </is>
      </c>
    </row>
    <row r="660" ht="15" customHeight="1" s="38">
      <c r="A660" s="84" t="inlineStr">
        <is>
          <t xml:space="preserve">      "Integrated",</t>
        </is>
      </c>
    </row>
    <row r="661" ht="15" customHeight="1" s="38">
      <c r="A661" s="84" t="inlineStr">
        <is>
          <t xml:space="preserve">      "Dedicated",</t>
        </is>
      </c>
    </row>
    <row r="662" ht="15" customHeight="1" s="38">
      <c r="A662" s="84" t="inlineStr">
        <is>
          <t xml:space="preserve">      "Short"</t>
        </is>
      </c>
    </row>
    <row r="663" ht="15" customHeight="1" s="38">
      <c r="A663" s="84" t="inlineStr">
        <is>
          <t xml:space="preserve">    ],</t>
        </is>
      </c>
    </row>
    <row r="664" ht="15" customHeight="1" s="38">
      <c r="A664" s="84" t="inlineStr">
        <is>
          <t xml:space="preserve">    "turnaroundDays": 10,</t>
        </is>
      </c>
    </row>
    <row r="665" ht="15" customHeight="1" s="38">
      <c r="A665" s="84" t="inlineStr">
        <is>
          <t xml:space="preserve">    "workedWith": [</t>
        </is>
      </c>
    </row>
    <row r="666" ht="15" customHeight="1" s="38">
      <c r="A666" s="84" t="inlineStr">
        <is>
          <t xml:space="preserve">      "Apparel",</t>
        </is>
      </c>
    </row>
    <row r="667" ht="15" customHeight="1" s="38">
      <c r="A667" s="84" t="inlineStr">
        <is>
          <t xml:space="preserve">      "Resale Platforms"</t>
        </is>
      </c>
    </row>
    <row r="668" ht="15" customHeight="1" s="38">
      <c r="A668" s="84" t="inlineStr">
        <is>
          <t xml:space="preserve">    ],</t>
        </is>
      </c>
    </row>
    <row r="669" ht="15" customHeight="1" s="38">
      <c r="A669" s="84" t="inlineStr">
        <is>
          <t xml:space="preserve">    "recentVideos": [</t>
        </is>
      </c>
    </row>
    <row r="670" ht="15" customHeight="1" s="38">
      <c r="A670" s="84" t="inlineStr">
        <is>
          <t xml:space="preserve">      {</t>
        </is>
      </c>
    </row>
    <row r="671" ht="15" customHeight="1" s="38">
      <c r="A671" s="84" t="inlineStr">
        <is>
          <t xml:space="preserve">        "title": "Thrift Flip: $12 Blazer to Office-Ready",</t>
        </is>
      </c>
    </row>
    <row r="672" ht="15" customHeight="1" s="38">
      <c r="A672" s="84" t="inlineStr">
        <is>
          <t xml:space="preserve">        "daysAgo": 6,</t>
        </is>
      </c>
    </row>
    <row r="673" ht="15" customHeight="1" s="38">
      <c r="A673" s="84" t="inlineStr">
        <is>
          <t xml:space="preserve">        "views": 23000,</t>
        </is>
      </c>
    </row>
    <row r="674" ht="15" customHeight="1" s="38">
      <c r="A674" s="84" t="inlineStr">
        <is>
          <t xml:space="preserve">        "likes": 1600,</t>
        </is>
      </c>
    </row>
    <row r="675" ht="15" customHeight="1" s="38">
      <c r="A675" s="84" t="inlineStr">
        <is>
          <t xml:space="preserve">        "comments": 210,</t>
        </is>
      </c>
    </row>
    <row r="676" ht="15" customHeight="1" s="38">
      <c r="A676" s="84" t="inlineStr">
        <is>
          <t xml:space="preserve">        "hadSponsor": false,</t>
        </is>
      </c>
    </row>
    <row r="677" ht="15" customHeight="1" s="38">
      <c r="A677" s="84" t="inlineStr">
        <is>
          <t xml:space="preserve">        "topicTags": [</t>
        </is>
      </c>
    </row>
    <row r="678" ht="15" customHeight="1" s="38">
      <c r="A678" s="84" t="inlineStr">
        <is>
          <t xml:space="preserve">          "thrifting",</t>
        </is>
      </c>
    </row>
    <row r="679" ht="15" customHeight="1" s="38">
      <c r="A679" s="84" t="inlineStr">
        <is>
          <t xml:space="preserve">          "styling",</t>
        </is>
      </c>
    </row>
    <row r="680" ht="15" customHeight="1" s="38">
      <c r="A680" s="84" t="inlineStr">
        <is>
          <t xml:space="preserve">          "diy"</t>
        </is>
      </c>
    </row>
    <row r="681" ht="15" customHeight="1" s="38">
      <c r="A681" s="84" t="inlineStr">
        <is>
          <t xml:space="preserve">        ]</t>
        </is>
      </c>
    </row>
    <row r="682" ht="15" customHeight="1" s="38">
      <c r="A682" s="84" t="inlineStr">
        <is>
          <t xml:space="preserve">      },</t>
        </is>
      </c>
    </row>
    <row r="683" ht="15" customHeight="1" s="38">
      <c r="A683" s="84" t="inlineStr">
        <is>
          <t xml:space="preserve">      {</t>
        </is>
      </c>
    </row>
    <row r="684" ht="15" customHeight="1" s="38">
      <c r="A684" s="84" t="inlineStr">
        <is>
          <t xml:space="preserve">        "title": "I Wore the Same 10 Pieces for a Month",</t>
        </is>
      </c>
    </row>
    <row r="685" ht="15" customHeight="1" s="38">
      <c r="A685" s="84" t="inlineStr">
        <is>
          <t xml:space="preserve">        "daysAgo": 14,</t>
        </is>
      </c>
    </row>
    <row r="686" ht="15" customHeight="1" s="38">
      <c r="A686" s="84" t="inlineStr">
        <is>
          <t xml:space="preserve">        "views": 17000,</t>
        </is>
      </c>
    </row>
    <row r="687" ht="15" customHeight="1" s="38">
      <c r="A687" s="84" t="inlineStr">
        <is>
          <t xml:space="preserve">        "likes": 1200,</t>
        </is>
      </c>
    </row>
    <row r="688" ht="15" customHeight="1" s="38">
      <c r="A688" s="84" t="inlineStr">
        <is>
          <t xml:space="preserve">        "comments": 155,</t>
        </is>
      </c>
    </row>
    <row r="689" ht="15" customHeight="1" s="38">
      <c r="A689" s="84" t="inlineStr">
        <is>
          <t xml:space="preserve">        "hadSponsor": true,</t>
        </is>
      </c>
    </row>
    <row r="690" ht="15" customHeight="1" s="38">
      <c r="A690" s="84" t="inlineStr">
        <is>
          <t xml:space="preserve">        "topicTags": [</t>
        </is>
      </c>
    </row>
    <row r="691" ht="15" customHeight="1" s="38">
      <c r="A691" s="84" t="inlineStr">
        <is>
          <t xml:space="preserve">          "capsule-wardrobe",</t>
        </is>
      </c>
    </row>
    <row r="692" ht="15" customHeight="1" s="38">
      <c r="A692" s="84" t="inlineStr">
        <is>
          <t xml:space="preserve">          "challenge"</t>
        </is>
      </c>
    </row>
    <row r="693" ht="15" customHeight="1" s="38">
      <c r="A693" s="84" t="inlineStr">
        <is>
          <t xml:space="preserve">        ]</t>
        </is>
      </c>
    </row>
    <row r="694" ht="15" customHeight="1" s="38">
      <c r="A694" s="84" t="inlineStr">
        <is>
          <t xml:space="preserve">      },</t>
        </is>
      </c>
    </row>
    <row r="695" ht="15" customHeight="1" s="38">
      <c r="A695" s="84" t="inlineStr">
        <is>
          <t xml:space="preserve">      {</t>
        </is>
      </c>
    </row>
    <row r="696" ht="15" customHeight="1" s="38">
      <c r="A696" s="84" t="inlineStr">
        <is>
          <t xml:space="preserve">        "title": "Fabric Labels Explained (Stop Buying Bad Knits)",</t>
        </is>
      </c>
    </row>
    <row r="697" ht="15" customHeight="1" s="38">
      <c r="A697" s="84" t="inlineStr">
        <is>
          <t xml:space="preserve">        "daysAgo": 23,</t>
        </is>
      </c>
    </row>
    <row r="698" ht="15" customHeight="1" s="38">
      <c r="A698" s="84" t="inlineStr">
        <is>
          <t xml:space="preserve">        "views": 18000,</t>
        </is>
      </c>
    </row>
    <row r="699" ht="15" customHeight="1" s="38">
      <c r="A699" s="84" t="inlineStr">
        <is>
          <t xml:space="preserve">        "likes": 1250,</t>
        </is>
      </c>
    </row>
    <row r="700" ht="15" customHeight="1" s="38">
      <c r="A700" s="84" t="inlineStr">
        <is>
          <t xml:space="preserve">        "comments": 165,</t>
        </is>
      </c>
    </row>
    <row r="701" ht="15" customHeight="1" s="38">
      <c r="A701" s="84" t="inlineStr">
        <is>
          <t xml:space="preserve">        "hadSponsor": false,</t>
        </is>
      </c>
    </row>
    <row r="702" ht="15" customHeight="1" s="38">
      <c r="A702" s="84" t="inlineStr">
        <is>
          <t xml:space="preserve">        "topicTags": [</t>
        </is>
      </c>
    </row>
    <row r="703" ht="15" customHeight="1" s="38">
      <c r="A703" s="84" t="inlineStr">
        <is>
          <t xml:space="preserve">          "explainer",</t>
        </is>
      </c>
    </row>
    <row r="704" ht="15" customHeight="1" s="38">
      <c r="A704" s="84" t="inlineStr">
        <is>
          <t xml:space="preserve">          "fabric",</t>
        </is>
      </c>
    </row>
    <row r="705" ht="15" customHeight="1" s="38">
      <c r="A705" s="84" t="inlineStr">
        <is>
          <t xml:space="preserve">          "shopping"</t>
        </is>
      </c>
    </row>
    <row r="706" ht="15" customHeight="1" s="38">
      <c r="A706" s="84" t="inlineStr">
        <is>
          <t xml:space="preserve">        ]</t>
        </is>
      </c>
    </row>
    <row r="707" ht="15" customHeight="1" s="38">
      <c r="A707" s="84" t="inlineStr">
        <is>
          <t xml:space="preserve">      }</t>
        </is>
      </c>
    </row>
    <row r="708" ht="15" customHeight="1" s="38">
      <c r="A708" s="84" t="inlineStr">
        <is>
          <t xml:space="preserve">    ]</t>
        </is>
      </c>
    </row>
    <row r="709" ht="15" customHeight="1" s="38">
      <c r="A709" s="84" t="inlineStr">
        <is>
          <t xml:space="preserve">  },</t>
        </is>
      </c>
    </row>
    <row r="710" ht="15" customHeight="1" s="38">
      <c r="A710" s="84" t="inlineStr">
        <is>
          <t xml:space="preserve">  {</t>
        </is>
      </c>
    </row>
    <row r="711" ht="15" customHeight="1" s="38">
      <c r="A711" s="84" t="inlineStr">
        <is>
          <t xml:space="preserve">    "id": "kenji-watanabe",</t>
        </is>
      </c>
    </row>
    <row r="712" ht="15" customHeight="1" s="38">
      <c r="A712" s="84" t="inlineStr">
        <is>
          <t xml:space="preserve">    "name": "Kenji Watanabe",</t>
        </is>
      </c>
    </row>
    <row r="713" ht="15" customHeight="1" s="38">
      <c r="A713" s="84" t="inlineStr">
        <is>
          <t xml:space="preserve">    "handle": "@kenjibuildsbikes",</t>
        </is>
      </c>
    </row>
    <row r="714" ht="15" customHeight="1" s="38">
      <c r="A714" s="84" t="inlineStr">
        <is>
          <t xml:space="preserve">    "category": "Outdoor &amp; Gear",</t>
        </is>
      </c>
    </row>
    <row r="715" ht="15" customHeight="1" s="38">
      <c r="A715" s="84" t="inlineStr">
        <is>
          <t xml:space="preserve">    "tier": "Micro",</t>
        </is>
      </c>
    </row>
    <row r="716" ht="15" customHeight="1" s="38">
      <c r="A716" s="84" t="inlineStr">
        <is>
          <t xml:space="preserve">    "subscribers": 51000,</t>
        </is>
      </c>
    </row>
    <row r="717" ht="15" customHeight="1" s="38">
      <c r="A717" s="84" t="inlineStr">
        <is>
          <t xml:space="preserve">    "avgViews": 33000,</t>
        </is>
      </c>
    </row>
    <row r="718" ht="15" customHeight="1" s="38">
      <c r="A718" s="84" t="inlineStr">
        <is>
          <t xml:space="preserve">    "engagementRate": 0.081,</t>
        </is>
      </c>
    </row>
    <row r="719" ht="15" customHeight="1" s="38">
      <c r="A719" s="84" t="inlineStr">
        <is>
          <t xml:space="preserve">    "channelVerified": true,</t>
        </is>
      </c>
    </row>
    <row r="720" ht="15" customHeight="1" s="38">
      <c r="A720" s="84" t="inlineStr">
        <is>
          <t xml:space="preserve">    "safetyScore": 95,</t>
        </is>
      </c>
    </row>
    <row r="721" ht="15" customHeight="1" s="38">
      <c r="A721" s="84" t="inlineStr">
        <is>
          <t xml:space="preserve">    "audienceAge": "25-44",</t>
        </is>
      </c>
    </row>
    <row r="722" ht="15" customHeight="1" s="38">
      <c r="A722" s="84" t="inlineStr">
        <is>
          <t xml:space="preserve">    "audienceGender": "73% M",</t>
        </is>
      </c>
    </row>
    <row r="723" ht="15" customHeight="1" s="38">
      <c r="A723" s="84" t="inlineStr">
        <is>
          <t xml:space="preserve">    "topCountry": "US",</t>
        </is>
      </c>
    </row>
    <row r="724" ht="15" customHeight="1" s="38">
      <c r="A724" s="84" t="inlineStr">
        <is>
          <t xml:space="preserve">    "uploadCadence": "1 / week",</t>
        </is>
      </c>
    </row>
    <row r="725" ht="15" customHeight="1" s="38">
      <c r="A725" s="84" t="inlineStr">
        <is>
          <t xml:space="preserve">    "avgLengthMin": 20,</t>
        </is>
      </c>
    </row>
    <row r="726" ht="15" customHeight="1" s="38">
      <c r="A726" s="84" t="inlineStr">
        <is>
          <t xml:space="preserve">    "rates": {</t>
        </is>
      </c>
    </row>
    <row r="727" ht="15" customHeight="1" s="38">
      <c r="A727" s="84" t="inlineStr">
        <is>
          <t xml:space="preserve">      "integrated": 950,</t>
        </is>
      </c>
    </row>
    <row r="728" ht="15" customHeight="1" s="38">
      <c r="A728" s="84" t="inlineStr">
        <is>
          <t xml:space="preserve">      "dedicated": 2100,</t>
        </is>
      </c>
    </row>
    <row r="729" ht="15" customHeight="1" s="38">
      <c r="A729" s="84" t="inlineStr">
        <is>
          <t xml:space="preserve">      "short": 520</t>
        </is>
      </c>
    </row>
    <row r="730" ht="15" customHeight="1" s="38">
      <c r="A730" s="84" t="inlineStr">
        <is>
          <t xml:space="preserve">    },</t>
        </is>
      </c>
    </row>
    <row r="731" ht="15" customHeight="1" s="38">
      <c r="A731" s="84" t="inlineStr">
        <is>
          <t xml:space="preserve">    "avatarInitials": "KW",</t>
        </is>
      </c>
    </row>
    <row r="732" ht="15" customHeight="1" s="38">
      <c r="A732" s="84" t="inlineStr">
        <is>
          <t xml:space="preserve">    "avatarColor": "#2980B9",</t>
        </is>
      </c>
    </row>
    <row r="733" ht="15" customHeight="1" s="38">
      <c r="A733" s="84" t="inlineStr">
        <is>
          <t xml:space="preserve">    "bio": "Bike builds and teardowns with real mileage behind every recommendation.",</t>
        </is>
      </c>
    </row>
    <row r="734" ht="15" customHeight="1" s="38">
      <c r="A734" s="84" t="inlineStr">
        <is>
          <t xml:space="preserve">    "languages": [</t>
        </is>
      </c>
    </row>
    <row r="735" ht="15" customHeight="1" s="38">
      <c r="A735" s="84" t="inlineStr">
        <is>
          <t xml:space="preserve">      "English",</t>
        </is>
      </c>
    </row>
    <row r="736" ht="15" customHeight="1" s="38">
      <c r="A736" s="84" t="inlineStr">
        <is>
          <t xml:space="preserve">      "Japanese"</t>
        </is>
      </c>
    </row>
    <row r="737" ht="15" customHeight="1" s="38">
      <c r="A737" s="84" t="inlineStr">
        <is>
          <t xml:space="preserve">    ],</t>
        </is>
      </c>
    </row>
    <row r="738" ht="15" customHeight="1" s="38">
      <c r="A738" s="84" t="inlineStr">
        <is>
          <t xml:space="preserve">    "formatsOffered": [</t>
        </is>
      </c>
    </row>
    <row r="739" ht="15" customHeight="1" s="38">
      <c r="A739" s="84" t="inlineStr">
        <is>
          <t xml:space="preserve">      "Dedicated",</t>
        </is>
      </c>
    </row>
    <row r="740" ht="15" customHeight="1" s="38">
      <c r="A740" s="84" t="inlineStr">
        <is>
          <t xml:space="preserve">      "Integrated"</t>
        </is>
      </c>
    </row>
    <row r="741" ht="15" customHeight="1" s="38">
      <c r="A741" s="84" t="inlineStr">
        <is>
          <t xml:space="preserve">    ],</t>
        </is>
      </c>
    </row>
    <row r="742" ht="15" customHeight="1" s="38">
      <c r="A742" s="84" t="inlineStr">
        <is>
          <t xml:space="preserve">    "turnaroundDays": 21,</t>
        </is>
      </c>
    </row>
    <row r="743" ht="15" customHeight="1" s="38">
      <c r="A743" s="84" t="inlineStr">
        <is>
          <t xml:space="preserve">    "workedWith": [</t>
        </is>
      </c>
    </row>
    <row r="744" ht="15" customHeight="1" s="38">
      <c r="A744" s="84" t="inlineStr">
        <is>
          <t xml:space="preserve">      "Cycling",</t>
        </is>
      </c>
    </row>
    <row r="745" ht="15" customHeight="1" s="38">
      <c r="A745" s="84" t="inlineStr">
        <is>
          <t xml:space="preserve">      "Outdoor Gear"</t>
        </is>
      </c>
    </row>
    <row r="746" ht="15" customHeight="1" s="38">
      <c r="A746" s="84" t="inlineStr">
        <is>
          <t xml:space="preserve">    ],</t>
        </is>
      </c>
    </row>
    <row r="747" ht="15" customHeight="1" s="38">
      <c r="A747" s="84" t="inlineStr">
        <is>
          <t xml:space="preserve">    "recentVideos": [</t>
        </is>
      </c>
    </row>
    <row r="748" ht="15" customHeight="1" s="38">
      <c r="A748" s="84" t="inlineStr">
        <is>
          <t xml:space="preserve">      {</t>
        </is>
      </c>
    </row>
    <row r="749" ht="15" customHeight="1" s="38">
      <c r="A749" s="84" t="inlineStr">
        <is>
          <t xml:space="preserve">        "title": "I Built a Touring Bike for Under $600",</t>
        </is>
      </c>
    </row>
    <row r="750" ht="15" customHeight="1" s="38">
      <c r="A750" s="84" t="inlineStr">
        <is>
          <t xml:space="preserve">        "daysAgo": 7,</t>
        </is>
      </c>
    </row>
    <row r="751" ht="15" customHeight="1" s="38">
      <c r="A751" s="84" t="inlineStr">
        <is>
          <t xml:space="preserve">        "views": 39000,</t>
        </is>
      </c>
    </row>
    <row r="752" ht="15" customHeight="1" s="38">
      <c r="A752" s="84" t="inlineStr">
        <is>
          <t xml:space="preserve">        "likes": 3200,</t>
        </is>
      </c>
    </row>
    <row r="753" ht="15" customHeight="1" s="38">
      <c r="A753" s="84" t="inlineStr">
        <is>
          <t xml:space="preserve">        "comments": 480,</t>
        </is>
      </c>
    </row>
    <row r="754" ht="15" customHeight="1" s="38">
      <c r="A754" s="84" t="inlineStr">
        <is>
          <t xml:space="preserve">        "hadSponsor": false,</t>
        </is>
      </c>
    </row>
    <row r="755" ht="15" customHeight="1" s="38">
      <c r="A755" s="84" t="inlineStr">
        <is>
          <t xml:space="preserve">        "topicTags": [</t>
        </is>
      </c>
    </row>
    <row r="756" ht="15" customHeight="1" s="38">
      <c r="A756" s="84" t="inlineStr">
        <is>
          <t xml:space="preserve">          "build",</t>
        </is>
      </c>
    </row>
    <row r="757" ht="15" customHeight="1" s="38">
      <c r="A757" s="84" t="inlineStr">
        <is>
          <t xml:space="preserve">          "budget",</t>
        </is>
      </c>
    </row>
    <row r="758" ht="15" customHeight="1" s="38">
      <c r="A758" s="84" t="inlineStr">
        <is>
          <t xml:space="preserve">          "touring"</t>
        </is>
      </c>
    </row>
    <row r="759" ht="15" customHeight="1" s="38">
      <c r="A759" s="84" t="inlineStr">
        <is>
          <t xml:space="preserve">        ]</t>
        </is>
      </c>
    </row>
    <row r="760" ht="15" customHeight="1" s="38">
      <c r="A760" s="84" t="inlineStr">
        <is>
          <t xml:space="preserve">      },</t>
        </is>
      </c>
    </row>
    <row r="761" ht="15" customHeight="1" s="38">
      <c r="A761" s="84" t="inlineStr">
        <is>
          <t xml:space="preserve">      {</t>
        </is>
      </c>
    </row>
    <row r="762" ht="15" customHeight="1" s="38">
      <c r="A762" s="84" t="inlineStr">
        <is>
          <t xml:space="preserve">        "title": "3,000 Miles on One Tire - Teardown",</t>
        </is>
      </c>
    </row>
    <row r="763" ht="15" customHeight="1" s="38">
      <c r="A763" s="84" t="inlineStr">
        <is>
          <t xml:space="preserve">        "daysAgo": 16,</t>
        </is>
      </c>
    </row>
    <row r="764" ht="15" customHeight="1" s="38">
      <c r="A764" s="84" t="inlineStr">
        <is>
          <t xml:space="preserve">        "views": 30000,</t>
        </is>
      </c>
    </row>
    <row r="765" ht="15" customHeight="1" s="38">
      <c r="A765" s="84" t="inlineStr">
        <is>
          <t xml:space="preserve">        "likes": 2400,</t>
        </is>
      </c>
    </row>
    <row r="766" ht="15" customHeight="1" s="38">
      <c r="A766" s="84" t="inlineStr">
        <is>
          <t xml:space="preserve">        "comments": 360,</t>
        </is>
      </c>
    </row>
    <row r="767" ht="15" customHeight="1" s="38">
      <c r="A767" s="84" t="inlineStr">
        <is>
          <t xml:space="preserve">        "hadSponsor": false,</t>
        </is>
      </c>
    </row>
    <row r="768" ht="15" customHeight="1" s="38">
      <c r="A768" s="84" t="inlineStr">
        <is>
          <t xml:space="preserve">        "topicTags": [</t>
        </is>
      </c>
    </row>
    <row r="769" ht="15" customHeight="1" s="38">
      <c r="A769" s="84" t="inlineStr">
        <is>
          <t xml:space="preserve">          "durability",</t>
        </is>
      </c>
    </row>
    <row r="770" ht="15" customHeight="1" s="38">
      <c r="A770" s="84" t="inlineStr">
        <is>
          <t xml:space="preserve">          "teardown",</t>
        </is>
      </c>
    </row>
    <row r="771" ht="15" customHeight="1" s="38">
      <c r="A771" s="84" t="inlineStr">
        <is>
          <t xml:space="preserve">          "gear"</t>
        </is>
      </c>
    </row>
    <row r="772" ht="15" customHeight="1" s="38">
      <c r="A772" s="84" t="inlineStr">
        <is>
          <t xml:space="preserve">        ]</t>
        </is>
      </c>
    </row>
    <row r="773" ht="15" customHeight="1" s="38">
      <c r="A773" s="84" t="inlineStr">
        <is>
          <t xml:space="preserve">      },</t>
        </is>
      </c>
    </row>
    <row r="774" ht="15" customHeight="1" s="38">
      <c r="A774" s="84" t="inlineStr">
        <is>
          <t xml:space="preserve">      {</t>
        </is>
      </c>
    </row>
    <row r="775" ht="15" customHeight="1" s="38">
      <c r="A775" s="84" t="inlineStr">
        <is>
          <t xml:space="preserve">        "title": "Why Your Bike Fit Hurts (Measured on Camera)",</t>
        </is>
      </c>
    </row>
    <row r="776" ht="15" customHeight="1" s="38">
      <c r="A776" s="84" t="inlineStr">
        <is>
          <t xml:space="preserve">        "daysAgo": 26,</t>
        </is>
      </c>
    </row>
    <row r="777" ht="15" customHeight="1" s="38">
      <c r="A777" s="84" t="inlineStr">
        <is>
          <t xml:space="preserve">        "views": 31000,</t>
        </is>
      </c>
    </row>
    <row r="778" ht="15" customHeight="1" s="38">
      <c r="A778" s="84" t="inlineStr">
        <is>
          <t xml:space="preserve">        "likes": 2500,</t>
        </is>
      </c>
    </row>
    <row r="779" ht="15" customHeight="1" s="38">
      <c r="A779" s="84" t="inlineStr">
        <is>
          <t xml:space="preserve">        "comments": 390,</t>
        </is>
      </c>
    </row>
    <row r="780" ht="15" customHeight="1" s="38">
      <c r="A780" s="84" t="inlineStr">
        <is>
          <t xml:space="preserve">        "hadSponsor": true,</t>
        </is>
      </c>
    </row>
    <row r="781" ht="15" customHeight="1" s="38">
      <c r="A781" s="84" t="inlineStr">
        <is>
          <t xml:space="preserve">        "topicTags": [</t>
        </is>
      </c>
    </row>
    <row r="782" ht="15" customHeight="1" s="38">
      <c r="A782" s="84" t="inlineStr">
        <is>
          <t xml:space="preserve">          "fitting",</t>
        </is>
      </c>
    </row>
    <row r="783" ht="15" customHeight="1" s="38">
      <c r="A783" s="84" t="inlineStr">
        <is>
          <t xml:space="preserve">          "how-to",</t>
        </is>
      </c>
    </row>
    <row r="784" ht="15" customHeight="1" s="38">
      <c r="A784" s="84" t="inlineStr">
        <is>
          <t xml:space="preserve">          "ergonomics"</t>
        </is>
      </c>
    </row>
    <row r="785" ht="15" customHeight="1" s="38">
      <c r="A785" s="84" t="inlineStr">
        <is>
          <t xml:space="preserve">        ]</t>
        </is>
      </c>
    </row>
    <row r="786" ht="15" customHeight="1" s="38">
      <c r="A786" s="84" t="inlineStr">
        <is>
          <t xml:space="preserve">      }</t>
        </is>
      </c>
    </row>
    <row r="787" ht="15" customHeight="1" s="38">
      <c r="A787" s="84" t="inlineStr">
        <is>
          <t xml:space="preserve">    ]</t>
        </is>
      </c>
    </row>
    <row r="788" ht="15" customHeight="1" s="38">
      <c r="A788" s="84" t="inlineStr">
        <is>
          <t xml:space="preserve">  },</t>
        </is>
      </c>
    </row>
    <row r="789" ht="15" customHeight="1" s="38">
      <c r="A789" s="84" t="inlineStr">
        <is>
          <t xml:space="preserve">  {</t>
        </is>
      </c>
    </row>
    <row r="790" ht="15" customHeight="1" s="38">
      <c r="A790" s="84" t="inlineStr">
        <is>
          <t xml:space="preserve">    "id": "amara-osei",</t>
        </is>
      </c>
    </row>
    <row r="791" ht="15" customHeight="1" s="38">
      <c r="A791" s="84" t="inlineStr">
        <is>
          <t xml:space="preserve">    "name": "Amara Osei",</t>
        </is>
      </c>
    </row>
    <row r="792" ht="15" customHeight="1" s="38">
      <c r="A792" s="84" t="inlineStr">
        <is>
          <t xml:space="preserve">    "handle": "@amaraparents",</t>
        </is>
      </c>
    </row>
    <row r="793" ht="15" customHeight="1" s="38">
      <c r="A793" s="84" t="inlineStr">
        <is>
          <t xml:space="preserve">    "category": "Parenting &amp; Family",</t>
        </is>
      </c>
    </row>
    <row r="794" ht="15" customHeight="1" s="38">
      <c r="A794" s="84" t="inlineStr">
        <is>
          <t xml:space="preserve">    "tier": "Micro",</t>
        </is>
      </c>
    </row>
    <row r="795" ht="15" customHeight="1" s="38">
      <c r="A795" s="84" t="inlineStr">
        <is>
          <t xml:space="preserve">    "subscribers": 29000,</t>
        </is>
      </c>
    </row>
    <row r="796" ht="15" customHeight="1" s="38">
      <c r="A796" s="84" t="inlineStr">
        <is>
          <t xml:space="preserve">    "avgViews": 11000,</t>
        </is>
      </c>
    </row>
    <row r="797" ht="15" customHeight="1" s="38">
      <c r="A797" s="84" t="inlineStr">
        <is>
          <t xml:space="preserve">    "engagementRate": 0.054,</t>
        </is>
      </c>
    </row>
    <row r="798" ht="15" customHeight="1" s="38">
      <c r="A798" s="84" t="inlineStr">
        <is>
          <t xml:space="preserve">    "channelVerified": false,</t>
        </is>
      </c>
    </row>
    <row r="799" ht="15" customHeight="1" s="38">
      <c r="A799" s="84" t="inlineStr">
        <is>
          <t xml:space="preserve">    "safetyScore": 99,</t>
        </is>
      </c>
    </row>
    <row r="800" ht="15" customHeight="1" s="38">
      <c r="A800" s="84" t="inlineStr">
        <is>
          <t xml:space="preserve">    "audienceAge": "30-44",</t>
        </is>
      </c>
    </row>
    <row r="801" ht="15" customHeight="1" s="38">
      <c r="A801" s="84" t="inlineStr">
        <is>
          <t xml:space="preserve">    "audienceGender": "76% F",</t>
        </is>
      </c>
    </row>
    <row r="802" ht="15" customHeight="1" s="38">
      <c r="A802" s="84" t="inlineStr">
        <is>
          <t xml:space="preserve">    "topCountry": "US",</t>
        </is>
      </c>
    </row>
    <row r="803" ht="15" customHeight="1" s="38">
      <c r="A803" s="84" t="inlineStr">
        <is>
          <t xml:space="preserve">    "uploadCadence": "1 / week",</t>
        </is>
      </c>
    </row>
    <row r="804" ht="15" customHeight="1" s="38">
      <c r="A804" s="84" t="inlineStr">
        <is>
          <t xml:space="preserve">    "avgLengthMin": 14,</t>
        </is>
      </c>
    </row>
    <row r="805" ht="15" customHeight="1" s="38">
      <c r="A805" s="84" t="inlineStr">
        <is>
          <t xml:space="preserve">    "rates": {</t>
        </is>
      </c>
    </row>
    <row r="806" ht="15" customHeight="1" s="38">
      <c r="A806" s="84" t="inlineStr">
        <is>
          <t xml:space="preserve">      "integrated": 560,</t>
        </is>
      </c>
    </row>
    <row r="807" ht="15" customHeight="1" s="38">
      <c r="A807" s="84" t="inlineStr">
        <is>
          <t xml:space="preserve">      "dedicated": 1200,</t>
        </is>
      </c>
    </row>
    <row r="808" ht="15" customHeight="1" s="38">
      <c r="A808" s="84" t="inlineStr">
        <is>
          <t xml:space="preserve">      "short": 340</t>
        </is>
      </c>
    </row>
    <row r="809" ht="15" customHeight="1" s="38">
      <c r="A809" s="84" t="inlineStr">
        <is>
          <t xml:space="preserve">    },</t>
        </is>
      </c>
    </row>
    <row r="810" ht="15" customHeight="1" s="38">
      <c r="A810" s="84" t="inlineStr">
        <is>
          <t xml:space="preserve">    "avatarInitials": "AO",</t>
        </is>
      </c>
    </row>
    <row r="811" ht="15" customHeight="1" s="38">
      <c r="A811" s="84" t="inlineStr">
        <is>
          <t xml:space="preserve">    "avatarColor": "#F39C12",</t>
        </is>
      </c>
    </row>
    <row r="812" ht="15" customHeight="1" s="38">
      <c r="A812" s="84" t="inlineStr">
        <is>
          <t xml:space="preserve">    "bio": "Parenting content with real portions, real budgets and no staged mornings.",</t>
        </is>
      </c>
    </row>
    <row r="813" ht="15" customHeight="1" s="38">
      <c r="A813" s="84" t="inlineStr">
        <is>
          <t xml:space="preserve">    "languages": [</t>
        </is>
      </c>
    </row>
    <row r="814" ht="15" customHeight="1" s="38">
      <c r="A814" s="84" t="inlineStr">
        <is>
          <t xml:space="preserve">      "English",</t>
        </is>
      </c>
    </row>
    <row r="815" ht="15" customHeight="1" s="38">
      <c r="A815" s="84" t="inlineStr">
        <is>
          <t xml:space="preserve">      "French"</t>
        </is>
      </c>
    </row>
    <row r="816" ht="15" customHeight="1" s="38">
      <c r="A816" s="84" t="inlineStr">
        <is>
          <t xml:space="preserve">    ],</t>
        </is>
      </c>
    </row>
    <row r="817" ht="15" customHeight="1" s="38">
      <c r="A817" s="84" t="inlineStr">
        <is>
          <t xml:space="preserve">    "formatsOffered": [</t>
        </is>
      </c>
    </row>
    <row r="818" ht="15" customHeight="1" s="38">
      <c r="A818" s="84" t="inlineStr">
        <is>
          <t xml:space="preserve">      "Integrated"</t>
        </is>
      </c>
    </row>
    <row r="819" ht="15" customHeight="1" s="38">
      <c r="A819" s="84" t="inlineStr">
        <is>
          <t xml:space="preserve">    ],</t>
        </is>
      </c>
    </row>
    <row r="820" ht="15" customHeight="1" s="38">
      <c r="A820" s="84" t="inlineStr">
        <is>
          <t xml:space="preserve">    "turnaroundDays": 14,</t>
        </is>
      </c>
    </row>
    <row r="821" ht="15" customHeight="1" s="38">
      <c r="A821" s="84" t="inlineStr">
        <is>
          <t xml:space="preserve">    "workedWith": [</t>
        </is>
      </c>
    </row>
    <row r="822" ht="15" customHeight="1" s="38">
      <c r="A822" s="84" t="inlineStr">
        <is>
          <t xml:space="preserve">      "Baby Care",</t>
        </is>
      </c>
    </row>
    <row r="823" ht="15" customHeight="1" s="38">
      <c r="A823" s="84" t="inlineStr">
        <is>
          <t xml:space="preserve">      "Grocery",</t>
        </is>
      </c>
    </row>
    <row r="824" ht="15" customHeight="1" s="38">
      <c r="A824" s="84" t="inlineStr">
        <is>
          <t xml:space="preserve">      "Household"</t>
        </is>
      </c>
    </row>
    <row r="825" ht="15" customHeight="1" s="38">
      <c r="A825" s="84" t="inlineStr">
        <is>
          <t xml:space="preserve">    ],</t>
        </is>
      </c>
    </row>
    <row r="826" ht="15" customHeight="1" s="38">
      <c r="A826" s="84" t="inlineStr">
        <is>
          <t xml:space="preserve">    "recentVideos": [</t>
        </is>
      </c>
    </row>
    <row r="827" ht="15" customHeight="1" s="38">
      <c r="A827" s="84" t="inlineStr">
        <is>
          <t xml:space="preserve">      {</t>
        </is>
      </c>
    </row>
    <row r="828" ht="15" customHeight="1" s="38">
      <c r="A828" s="84" t="inlineStr">
        <is>
          <t xml:space="preserve">        "title": "Our Toddler Bedtime Routine That Finally Worked",</t>
        </is>
      </c>
    </row>
    <row r="829" ht="15" customHeight="1" s="38">
      <c r="A829" s="84" t="inlineStr">
        <is>
          <t xml:space="preserve">        "daysAgo": 8,</t>
        </is>
      </c>
    </row>
    <row r="830" ht="15" customHeight="1" s="38">
      <c r="A830" s="84" t="inlineStr">
        <is>
          <t xml:space="preserve">        "views": 13000,</t>
        </is>
      </c>
    </row>
    <row r="831" ht="15" customHeight="1" s="38">
      <c r="A831" s="84" t="inlineStr">
        <is>
          <t xml:space="preserve">        "likes": 690,</t>
        </is>
      </c>
    </row>
    <row r="832" ht="15" customHeight="1" s="38">
      <c r="A832" s="84" t="inlineStr">
        <is>
          <t xml:space="preserve">        "comments": 105,</t>
        </is>
      </c>
    </row>
    <row r="833" ht="15" customHeight="1" s="38">
      <c r="A833" s="84" t="inlineStr">
        <is>
          <t xml:space="preserve">        "hadSponsor": false,</t>
        </is>
      </c>
    </row>
    <row r="834" ht="15" customHeight="1" s="38">
      <c r="A834" s="84" t="inlineStr">
        <is>
          <t xml:space="preserve">        "topicTags": [</t>
        </is>
      </c>
    </row>
    <row r="835" ht="15" customHeight="1" s="38">
      <c r="A835" s="84" t="inlineStr">
        <is>
          <t xml:space="preserve">          "routine",</t>
        </is>
      </c>
    </row>
    <row r="836" ht="15" customHeight="1" s="38">
      <c r="A836" s="84" t="inlineStr">
        <is>
          <t xml:space="preserve">          "toddler",</t>
        </is>
      </c>
    </row>
    <row r="837" ht="15" customHeight="1" s="38">
      <c r="A837" s="84" t="inlineStr">
        <is>
          <t xml:space="preserve">          "sleep"</t>
        </is>
      </c>
    </row>
    <row r="838" ht="15" customHeight="1" s="38">
      <c r="A838" s="84" t="inlineStr">
        <is>
          <t xml:space="preserve">        ]</t>
        </is>
      </c>
    </row>
    <row r="839" ht="15" customHeight="1" s="38">
      <c r="A839" s="84" t="inlineStr">
        <is>
          <t xml:space="preserve">      },</t>
        </is>
      </c>
    </row>
    <row r="840" ht="15" customHeight="1" s="38">
      <c r="A840" s="84" t="inlineStr">
        <is>
          <t xml:space="preserve">      {</t>
        </is>
      </c>
    </row>
    <row r="841" ht="15" customHeight="1" s="38">
      <c r="A841" s="84" t="inlineStr">
        <is>
          <t xml:space="preserve">        "title": "What's Actually in My Diaper Bag",</t>
        </is>
      </c>
    </row>
    <row r="842" ht="15" customHeight="1" s="38">
      <c r="A842" s="84" t="inlineStr">
        <is>
          <t xml:space="preserve">        "daysAgo": 18,</t>
        </is>
      </c>
    </row>
    <row r="843" ht="15" customHeight="1" s="38">
      <c r="A843" s="84" t="inlineStr">
        <is>
          <t xml:space="preserve">        "views": 9800,</t>
        </is>
      </c>
    </row>
    <row r="844" ht="15" customHeight="1" s="38">
      <c r="A844" s="84" t="inlineStr">
        <is>
          <t xml:space="preserve">        "likes": 520,</t>
        </is>
      </c>
    </row>
    <row r="845" ht="15" customHeight="1" s="38">
      <c r="A845" s="84" t="inlineStr">
        <is>
          <t xml:space="preserve">        "comments": 82,</t>
        </is>
      </c>
    </row>
    <row r="846" ht="15" customHeight="1" s="38">
      <c r="A846" s="84" t="inlineStr">
        <is>
          <t xml:space="preserve">        "hadSponsor": true,</t>
        </is>
      </c>
    </row>
    <row r="847" ht="15" customHeight="1" s="38">
      <c r="A847" s="84" t="inlineStr">
        <is>
          <t xml:space="preserve">        "topicTags": [</t>
        </is>
      </c>
    </row>
    <row r="848" ht="15" customHeight="1" s="38">
      <c r="A848" s="84" t="inlineStr">
        <is>
          <t xml:space="preserve">          "haul",</t>
        </is>
      </c>
    </row>
    <row r="849" ht="15" customHeight="1" s="38">
      <c r="A849" s="84" t="inlineStr">
        <is>
          <t xml:space="preserve">          "baby-gear",</t>
        </is>
      </c>
    </row>
    <row r="850" ht="15" customHeight="1" s="38">
      <c r="A850" s="84" t="inlineStr">
        <is>
          <t xml:space="preserve">          "essentials"</t>
        </is>
      </c>
    </row>
    <row r="851" ht="15" customHeight="1" s="38">
      <c r="A851" s="84" t="inlineStr">
        <is>
          <t xml:space="preserve">        ]</t>
        </is>
      </c>
    </row>
    <row r="852" ht="15" customHeight="1" s="38">
      <c r="A852" s="84" t="inlineStr">
        <is>
          <t xml:space="preserve">      },</t>
        </is>
      </c>
    </row>
    <row r="853" ht="15" customHeight="1" s="38">
      <c r="A853" s="84" t="inlineStr">
        <is>
          <t xml:space="preserve">      {</t>
        </is>
      </c>
    </row>
    <row r="854" ht="15" customHeight="1" s="38">
      <c r="A854" s="84" t="inlineStr">
        <is>
          <t xml:space="preserve">        "title": "Meal Prep for Picky Eaters (Real Portions)",</t>
        </is>
      </c>
    </row>
    <row r="855" ht="15" customHeight="1" s="38">
      <c r="A855" s="84" t="inlineStr">
        <is>
          <t xml:space="preserve">        "daysAgo": 28,</t>
        </is>
      </c>
    </row>
    <row r="856" ht="15" customHeight="1" s="38">
      <c r="A856" s="84" t="inlineStr">
        <is>
          <t xml:space="preserve">        "views": 10500,</t>
        </is>
      </c>
    </row>
    <row r="857" ht="15" customHeight="1" s="38">
      <c r="A857" s="84" t="inlineStr">
        <is>
          <t xml:space="preserve">        "likes": 560,</t>
        </is>
      </c>
    </row>
    <row r="858" ht="15" customHeight="1" s="38">
      <c r="A858" s="84" t="inlineStr">
        <is>
          <t xml:space="preserve">        "comments": 90,</t>
        </is>
      </c>
    </row>
    <row r="859" ht="15" customHeight="1" s="38">
      <c r="A859" s="84" t="inlineStr">
        <is>
          <t xml:space="preserve">        "hadSponsor": false,</t>
        </is>
      </c>
    </row>
    <row r="860" ht="15" customHeight="1" s="38">
      <c r="A860" s="84" t="inlineStr">
        <is>
          <t xml:space="preserve">        "topicTags": [</t>
        </is>
      </c>
    </row>
    <row r="861" ht="15" customHeight="1" s="38">
      <c r="A861" s="84" t="inlineStr">
        <is>
          <t xml:space="preserve">          "meal-prep",</t>
        </is>
      </c>
    </row>
    <row r="862" ht="15" customHeight="1" s="38">
      <c r="A862" s="84" t="inlineStr">
        <is>
          <t xml:space="preserve">          "kids",</t>
        </is>
      </c>
    </row>
    <row r="863" ht="15" customHeight="1" s="38">
      <c r="A863" s="84" t="inlineStr">
        <is>
          <t xml:space="preserve">          "food"</t>
        </is>
      </c>
    </row>
    <row r="864" ht="15" customHeight="1" s="38">
      <c r="A864" s="84" t="inlineStr">
        <is>
          <t xml:space="preserve">        ]</t>
        </is>
      </c>
    </row>
    <row r="865" ht="15" customHeight="1" s="38">
      <c r="A865" s="84" t="inlineStr">
        <is>
          <t xml:space="preserve">      }</t>
        </is>
      </c>
    </row>
    <row r="866" ht="15" customHeight="1" s="38">
      <c r="A866" s="84" t="inlineStr">
        <is>
          <t xml:space="preserve">    ]</t>
        </is>
      </c>
    </row>
    <row r="867" ht="15" customHeight="1" s="38">
      <c r="A867" s="84" t="inlineStr">
        <is>
          <t xml:space="preserve">  },</t>
        </is>
      </c>
    </row>
    <row r="868" ht="15" customHeight="1" s="38">
      <c r="A868" s="84" t="inlineStr">
        <is>
          <t xml:space="preserve">  {</t>
        </is>
      </c>
    </row>
    <row r="869" ht="15" customHeight="1" s="38">
      <c r="A869" s="84" t="inlineStr">
        <is>
          <t xml:space="preserve">    "id": "ryan-novak",</t>
        </is>
      </c>
    </row>
    <row r="870" ht="15" customHeight="1" s="38">
      <c r="A870" s="84" t="inlineStr">
        <is>
          <t xml:space="preserve">    "name": "Ryan Novak",</t>
        </is>
      </c>
    </row>
    <row r="871" ht="15" customHeight="1" s="38">
      <c r="A871" s="84" t="inlineStr">
        <is>
          <t xml:space="preserve">    "handle": "@ryannovakfinance",</t>
        </is>
      </c>
    </row>
    <row r="872" ht="15" customHeight="1" s="38">
      <c r="A872" s="84" t="inlineStr">
        <is>
          <t xml:space="preserve">    "category": "Personal Finance",</t>
        </is>
      </c>
    </row>
    <row r="873" ht="15" customHeight="1" s="38">
      <c r="A873" s="84" t="inlineStr">
        <is>
          <t xml:space="preserve">    "tier": "Micro",</t>
        </is>
      </c>
    </row>
    <row r="874" ht="15" customHeight="1" s="38">
      <c r="A874" s="84" t="inlineStr">
        <is>
          <t xml:space="preserve">    "subscribers": 67000,</t>
        </is>
      </c>
    </row>
    <row r="875" ht="15" customHeight="1" s="38">
      <c r="A875" s="84" t="inlineStr">
        <is>
          <t xml:space="preserve">    "avgViews": 24000,</t>
        </is>
      </c>
    </row>
    <row r="876" ht="15" customHeight="1" s="38">
      <c r="A876" s="84" t="inlineStr">
        <is>
          <t xml:space="preserve">    "engagementRate": 0.041,</t>
        </is>
      </c>
    </row>
    <row r="877" ht="15" customHeight="1" s="38">
      <c r="A877" s="84" t="inlineStr">
        <is>
          <t xml:space="preserve">    "channelVerified": true,</t>
        </is>
      </c>
    </row>
    <row r="878" ht="15" customHeight="1" s="38">
      <c r="A878" s="84" t="inlineStr">
        <is>
          <t xml:space="preserve">    "safetyScore": 82,</t>
        </is>
      </c>
    </row>
    <row r="879" ht="15" customHeight="1" s="38">
      <c r="A879" s="84" t="inlineStr">
        <is>
          <t xml:space="preserve">    "audienceAge": "25-34",</t>
        </is>
      </c>
    </row>
    <row r="880" ht="15" customHeight="1" s="38">
      <c r="A880" s="84" t="inlineStr">
        <is>
          <t xml:space="preserve">    "audienceGender": "69% M",</t>
        </is>
      </c>
    </row>
    <row r="881" ht="15" customHeight="1" s="38">
      <c r="A881" s="84" t="inlineStr">
        <is>
          <t xml:space="preserve">    "topCountry": "US",</t>
        </is>
      </c>
    </row>
    <row r="882" ht="15" customHeight="1" s="38">
      <c r="A882" s="84" t="inlineStr">
        <is>
          <t xml:space="preserve">    "uploadCadence": "2 / week",</t>
        </is>
      </c>
    </row>
    <row r="883" ht="15" customHeight="1" s="38">
      <c r="A883" s="84" t="inlineStr">
        <is>
          <t xml:space="preserve">    "avgLengthMin": 16,</t>
        </is>
      </c>
    </row>
    <row r="884" ht="15" customHeight="1" s="38">
      <c r="A884" s="84" t="inlineStr">
        <is>
          <t xml:space="preserve">    "rates": {</t>
        </is>
      </c>
    </row>
    <row r="885" ht="15" customHeight="1" s="38">
      <c r="A885" s="84" t="inlineStr">
        <is>
          <t xml:space="preserve">      "integrated": 1000,</t>
        </is>
      </c>
    </row>
    <row r="886" ht="15" customHeight="1" s="38">
      <c r="A886" s="84" t="inlineStr">
        <is>
          <t xml:space="preserve">      "dedicated": 2200,</t>
        </is>
      </c>
    </row>
    <row r="887" ht="15" customHeight="1" s="38">
      <c r="A887" s="84" t="inlineStr">
        <is>
          <t xml:space="preserve">      "short": 550</t>
        </is>
      </c>
    </row>
    <row r="888" ht="15" customHeight="1" s="38">
      <c r="A888" s="84" t="inlineStr">
        <is>
          <t xml:space="preserve">    },</t>
        </is>
      </c>
    </row>
    <row r="889" ht="15" customHeight="1" s="38">
      <c r="A889" s="84" t="inlineStr">
        <is>
          <t xml:space="preserve">    "avatarInitials": "RN",</t>
        </is>
      </c>
    </row>
    <row r="890" ht="15" customHeight="1" s="38">
      <c r="A890" s="84" t="inlineStr">
        <is>
          <t xml:space="preserve">    "avatarColor": "#7F8C8D",</t>
        </is>
      </c>
    </row>
    <row r="891" ht="15" customHeight="1" s="38">
      <c r="A891" s="84" t="inlineStr">
        <is>
          <t xml:space="preserve">    "bio": "Personal finance without jargon, aimed at people starting from zero.",</t>
        </is>
      </c>
    </row>
    <row r="892" ht="15" customHeight="1" s="38">
      <c r="A892" s="84" t="inlineStr">
        <is>
          <t xml:space="preserve">    "languages": [</t>
        </is>
      </c>
    </row>
    <row r="893" ht="15" customHeight="1" s="38">
      <c r="A893" s="84" t="inlineStr">
        <is>
          <t xml:space="preserve">      "English"</t>
        </is>
      </c>
    </row>
    <row r="894" ht="15" customHeight="1" s="38">
      <c r="A894" s="84" t="inlineStr">
        <is>
          <t xml:space="preserve">    ],</t>
        </is>
      </c>
    </row>
    <row r="895" ht="15" customHeight="1" s="38">
      <c r="A895" s="84" t="inlineStr">
        <is>
          <t xml:space="preserve">    "formatsOffered": [</t>
        </is>
      </c>
    </row>
    <row r="896" ht="15" customHeight="1" s="38">
      <c r="A896" s="84" t="inlineStr">
        <is>
          <t xml:space="preserve">      "Integrated",</t>
        </is>
      </c>
    </row>
    <row r="897" ht="15" customHeight="1" s="38">
      <c r="A897" s="84" t="inlineStr">
        <is>
          <t xml:space="preserve">      "Dedicated"</t>
        </is>
      </c>
    </row>
    <row r="898" ht="15" customHeight="1" s="38">
      <c r="A898" s="84" t="inlineStr">
        <is>
          <t xml:space="preserve">    ],</t>
        </is>
      </c>
    </row>
    <row r="899" ht="15" customHeight="1" s="38">
      <c r="A899" s="84" t="inlineStr">
        <is>
          <t xml:space="preserve">    "turnaroundDays": 10,</t>
        </is>
      </c>
    </row>
    <row r="900" ht="15" customHeight="1" s="38">
      <c r="A900" s="84" t="inlineStr">
        <is>
          <t xml:space="preserve">    "workedWith": [</t>
        </is>
      </c>
    </row>
    <row r="901" ht="15" customHeight="1" s="38">
      <c r="A901" s="84" t="inlineStr">
        <is>
          <t xml:space="preserve">      "Fintech",</t>
        </is>
      </c>
    </row>
    <row r="902" ht="15" customHeight="1" s="38">
      <c r="A902" s="84" t="inlineStr">
        <is>
          <t xml:space="preserve">      "Banking"</t>
        </is>
      </c>
    </row>
    <row r="903" ht="15" customHeight="1" s="38">
      <c r="A903" s="84" t="inlineStr">
        <is>
          <t xml:space="preserve">    ],</t>
        </is>
      </c>
    </row>
    <row r="904" ht="15" customHeight="1" s="38">
      <c r="A904" s="84" t="inlineStr">
        <is>
          <t xml:space="preserve">    "recentVideos": [</t>
        </is>
      </c>
    </row>
    <row r="905" ht="15" customHeight="1" s="38">
      <c r="A905" s="84" t="inlineStr">
        <is>
          <t xml:space="preserve">      {</t>
        </is>
      </c>
    </row>
    <row r="906" ht="15" customHeight="1" s="38">
      <c r="A906" s="84" t="inlineStr">
        <is>
          <t xml:space="preserve">        "title": "How I'd Invest $1,000 Right Now",</t>
        </is>
      </c>
    </row>
    <row r="907" ht="15" customHeight="1" s="38">
      <c r="A907" s="84" t="inlineStr">
        <is>
          <t xml:space="preserve">        "daysAgo": 4,</t>
        </is>
      </c>
    </row>
    <row r="908" ht="15" customHeight="1" s="38">
      <c r="A908" s="84" t="inlineStr">
        <is>
          <t xml:space="preserve">        "views": 29000,</t>
        </is>
      </c>
    </row>
    <row r="909" ht="15" customHeight="1" s="38">
      <c r="A909" s="84" t="inlineStr">
        <is>
          <t xml:space="preserve">        "likes": 1150,</t>
        </is>
      </c>
    </row>
    <row r="910" ht="15" customHeight="1" s="38">
      <c r="A910" s="84" t="inlineStr">
        <is>
          <t xml:space="preserve">        "comments": 240,</t>
        </is>
      </c>
    </row>
    <row r="911" ht="15" customHeight="1" s="38">
      <c r="A911" s="84" t="inlineStr">
        <is>
          <t xml:space="preserve">        "hadSponsor": false,</t>
        </is>
      </c>
    </row>
    <row r="912" ht="15" customHeight="1" s="38">
      <c r="A912" s="84" t="inlineStr">
        <is>
          <t xml:space="preserve">        "topicTags": [</t>
        </is>
      </c>
    </row>
    <row r="913" ht="15" customHeight="1" s="38">
      <c r="A913" s="84" t="inlineStr">
        <is>
          <t xml:space="preserve">          "investing",</t>
        </is>
      </c>
    </row>
    <row r="914" ht="15" customHeight="1" s="38">
      <c r="A914" s="84" t="inlineStr">
        <is>
          <t xml:space="preserve">          "beginner",</t>
        </is>
      </c>
    </row>
    <row r="915" ht="15" customHeight="1" s="38">
      <c r="A915" s="84" t="inlineStr">
        <is>
          <t xml:space="preserve">          "claims-risk"</t>
        </is>
      </c>
    </row>
    <row r="916" ht="15" customHeight="1" s="38">
      <c r="A916" s="84" t="inlineStr">
        <is>
          <t xml:space="preserve">        ]</t>
        </is>
      </c>
    </row>
    <row r="917" ht="15" customHeight="1" s="38">
      <c r="A917" s="84" t="inlineStr">
        <is>
          <t xml:space="preserve">      },</t>
        </is>
      </c>
    </row>
    <row r="918" ht="15" customHeight="1" s="38">
      <c r="A918" s="84" t="inlineStr">
        <is>
          <t xml:space="preserve">      {</t>
        </is>
      </c>
    </row>
    <row r="919" ht="15" customHeight="1" s="38">
      <c r="A919" s="84" t="inlineStr">
        <is>
          <t xml:space="preserve">        "title": "This Savings Account Trick Is Free Money",</t>
        </is>
      </c>
    </row>
    <row r="920" ht="15" customHeight="1" s="38">
      <c r="A920" s="84" t="inlineStr">
        <is>
          <t xml:space="preserve">        "daysAgo": 13,</t>
        </is>
      </c>
    </row>
    <row r="921" ht="15" customHeight="1" s="38">
      <c r="A921" s="84" t="inlineStr">
        <is>
          <t xml:space="preserve">        "views": 21000,</t>
        </is>
      </c>
    </row>
    <row r="922" ht="15" customHeight="1" s="38">
      <c r="A922" s="84" t="inlineStr">
        <is>
          <t xml:space="preserve">        "likes": 850,</t>
        </is>
      </c>
    </row>
    <row r="923" ht="15" customHeight="1" s="38">
      <c r="A923" s="84" t="inlineStr">
        <is>
          <t xml:space="preserve">        "comments": 180,</t>
        </is>
      </c>
    </row>
    <row r="924" ht="15" customHeight="1" s="38">
      <c r="A924" s="84" t="inlineStr">
        <is>
          <t xml:space="preserve">        "hadSponsor": true,</t>
        </is>
      </c>
    </row>
    <row r="925" ht="15" customHeight="1" s="38">
      <c r="A925" s="84" t="inlineStr">
        <is>
          <t xml:space="preserve">        "topicTags": [</t>
        </is>
      </c>
    </row>
    <row r="926" ht="15" customHeight="1" s="38">
      <c r="A926" s="84" t="inlineStr">
        <is>
          <t xml:space="preserve">          "savings",</t>
        </is>
      </c>
    </row>
    <row r="927" ht="15" customHeight="1" s="38">
      <c r="A927" s="84" t="inlineStr">
        <is>
          <t xml:space="preserve">          "claims-risk",</t>
        </is>
      </c>
    </row>
    <row r="928" ht="15" customHeight="1" s="38">
      <c r="A928" s="84" t="inlineStr">
        <is>
          <t xml:space="preserve">          "banking"</t>
        </is>
      </c>
    </row>
    <row r="929" ht="15" customHeight="1" s="38">
      <c r="A929" s="84" t="inlineStr">
        <is>
          <t xml:space="preserve">        ]</t>
        </is>
      </c>
    </row>
    <row r="930" ht="15" customHeight="1" s="38">
      <c r="A930" s="84" t="inlineStr">
        <is>
          <t xml:space="preserve">      },</t>
        </is>
      </c>
    </row>
    <row r="931" ht="15" customHeight="1" s="38">
      <c r="A931" s="84" t="inlineStr">
        <is>
          <t xml:space="preserve">      {</t>
        </is>
      </c>
    </row>
    <row r="932" ht="15" customHeight="1" s="38">
      <c r="A932" s="84" t="inlineStr">
        <is>
          <t xml:space="preserve">        "title": "Roth IRA Explained Without the Jargon",</t>
        </is>
      </c>
    </row>
    <row r="933" ht="15" customHeight="1" s="38">
      <c r="A933" s="84" t="inlineStr">
        <is>
          <t xml:space="preserve">        "daysAgo": 24,</t>
        </is>
      </c>
    </row>
    <row r="934" ht="15" customHeight="1" s="38">
      <c r="A934" s="84" t="inlineStr">
        <is>
          <t xml:space="preserve">        "views": 22000,</t>
        </is>
      </c>
    </row>
    <row r="935" ht="15" customHeight="1" s="38">
      <c r="A935" s="84" t="inlineStr">
        <is>
          <t xml:space="preserve">        "likes": 890,</t>
        </is>
      </c>
    </row>
    <row r="936" ht="15" customHeight="1" s="38">
      <c r="A936" s="84" t="inlineStr">
        <is>
          <t xml:space="preserve">        "comments": 195,</t>
        </is>
      </c>
    </row>
    <row r="937" ht="15" customHeight="1" s="38">
      <c r="A937" s="84" t="inlineStr">
        <is>
          <t xml:space="preserve">        "hadSponsor": false,</t>
        </is>
      </c>
    </row>
    <row r="938" ht="15" customHeight="1" s="38">
      <c r="A938" s="84" t="inlineStr">
        <is>
          <t xml:space="preserve">        "topicTags": [</t>
        </is>
      </c>
    </row>
    <row r="939" ht="15" customHeight="1" s="38">
      <c r="A939" s="84" t="inlineStr">
        <is>
          <t xml:space="preserve">          "retirement",</t>
        </is>
      </c>
    </row>
    <row r="940" ht="15" customHeight="1" s="38">
      <c r="A940" s="84" t="inlineStr">
        <is>
          <t xml:space="preserve">          "explainer"</t>
        </is>
      </c>
    </row>
    <row r="941" ht="15" customHeight="1" s="38">
      <c r="A941" s="84" t="inlineStr">
        <is>
          <t xml:space="preserve">        ]</t>
        </is>
      </c>
    </row>
    <row r="942" ht="15" customHeight="1" s="38">
      <c r="A942" s="84" t="inlineStr">
        <is>
          <t xml:space="preserve">      }</t>
        </is>
      </c>
    </row>
    <row r="943" ht="15" customHeight="1" s="38">
      <c r="A943" s="84" t="inlineStr">
        <is>
          <t xml:space="preserve">    ]</t>
        </is>
      </c>
    </row>
    <row r="944" ht="15" customHeight="1" s="38">
      <c r="A944" s="84" t="inlineStr">
        <is>
          <t xml:space="preserve">  },</t>
        </is>
      </c>
    </row>
    <row r="945" ht="15" customHeight="1" s="38">
      <c r="A945" s="84" t="inlineStr">
        <is>
          <t xml:space="preserve">  {</t>
        </is>
      </c>
    </row>
    <row r="946" ht="15" customHeight="1" s="38">
      <c r="A946" s="84" t="inlineStr">
        <is>
          <t xml:space="preserve">    "id": "chloe-baptiste",</t>
        </is>
      </c>
    </row>
    <row r="947" ht="15" customHeight="1" s="38">
      <c r="A947" s="84" t="inlineStr">
        <is>
          <t xml:space="preserve">    "name": "Chloe Baptiste",</t>
        </is>
      </c>
    </row>
    <row r="948" ht="15" customHeight="1" s="38">
      <c r="A948" s="84" t="inlineStr">
        <is>
          <t xml:space="preserve">    "handle": "@chloeskinscience",</t>
        </is>
      </c>
    </row>
    <row r="949" ht="15" customHeight="1" s="38">
      <c r="A949" s="84" t="inlineStr">
        <is>
          <t xml:space="preserve">    "category": "Beauty &amp; Skincare",</t>
        </is>
      </c>
    </row>
    <row r="950" ht="15" customHeight="1" s="38">
      <c r="A950" s="84" t="inlineStr">
        <is>
          <t xml:space="preserve">    "tier": "Micro",</t>
        </is>
      </c>
    </row>
    <row r="951" ht="15" customHeight="1" s="38">
      <c r="A951" s="84" t="inlineStr">
        <is>
          <t xml:space="preserve">    "subscribers": 45000,</t>
        </is>
      </c>
    </row>
    <row r="952" ht="15" customHeight="1" s="38">
      <c r="A952" s="84" t="inlineStr">
        <is>
          <t xml:space="preserve">    "avgViews": 26000,</t>
        </is>
      </c>
    </row>
    <row r="953" ht="15" customHeight="1" s="38">
      <c r="A953" s="84" t="inlineStr">
        <is>
          <t xml:space="preserve">    "engagementRate": 0.076,</t>
        </is>
      </c>
    </row>
    <row r="954" ht="15" customHeight="1" s="38">
      <c r="A954" s="84" t="inlineStr">
        <is>
          <t xml:space="preserve">    "channelVerified": true,</t>
        </is>
      </c>
    </row>
    <row r="955" ht="15" customHeight="1" s="38">
      <c r="A955" s="84" t="inlineStr">
        <is>
          <t xml:space="preserve">    "safetyScore": 91,</t>
        </is>
      </c>
    </row>
    <row r="956" ht="15" customHeight="1" s="38">
      <c r="A956" s="84" t="inlineStr">
        <is>
          <t xml:space="preserve">    "audienceAge": "18-34",</t>
        </is>
      </c>
    </row>
    <row r="957" ht="15" customHeight="1" s="38">
      <c r="A957" s="84" t="inlineStr">
        <is>
          <t xml:space="preserve">    "audienceGender": "91% F",</t>
        </is>
      </c>
    </row>
    <row r="958" ht="15" customHeight="1" s="38">
      <c r="A958" s="84" t="inlineStr">
        <is>
          <t xml:space="preserve">    "topCountry": "CA",</t>
        </is>
      </c>
    </row>
    <row r="959" ht="15" customHeight="1" s="38">
      <c r="A959" s="84" t="inlineStr">
        <is>
          <t xml:space="preserve">    "uploadCadence": "2 / week",</t>
        </is>
      </c>
    </row>
    <row r="960" ht="15" customHeight="1" s="38">
      <c r="A960" s="84" t="inlineStr">
        <is>
          <t xml:space="preserve">    "avgLengthMin": 11,</t>
        </is>
      </c>
    </row>
    <row r="961" ht="15" customHeight="1" s="38">
      <c r="A961" s="84" t="inlineStr">
        <is>
          <t xml:space="preserve">    "rates": {</t>
        </is>
      </c>
    </row>
    <row r="962" ht="15" customHeight="1" s="38">
      <c r="A962" s="84" t="inlineStr">
        <is>
          <t xml:space="preserve">      "integrated": 820,</t>
        </is>
      </c>
    </row>
    <row r="963" ht="15" customHeight="1" s="38">
      <c r="A963" s="84" t="inlineStr">
        <is>
          <t xml:space="preserve">      "dedicated": 1800,</t>
        </is>
      </c>
    </row>
    <row r="964" ht="15" customHeight="1" s="38">
      <c r="A964" s="84" t="inlineStr">
        <is>
          <t xml:space="preserve">      "short": 460</t>
        </is>
      </c>
    </row>
    <row r="965" ht="15" customHeight="1" s="38">
      <c r="A965" s="84" t="inlineStr">
        <is>
          <t xml:space="preserve">    },</t>
        </is>
      </c>
    </row>
    <row r="966" ht="15" customHeight="1" s="38">
      <c r="A966" s="84" t="inlineStr">
        <is>
          <t xml:space="preserve">    "avatarInitials": "CB",</t>
        </is>
      </c>
    </row>
    <row r="967" ht="15" customHeight="1" s="38">
      <c r="A967" s="84" t="inlineStr">
        <is>
          <t xml:space="preserve">    "avatarColor": "#C2418E",</t>
        </is>
      </c>
    </row>
    <row r="968" ht="15" customHeight="1" s="38">
      <c r="A968" s="84" t="inlineStr">
        <is>
          <t xml:space="preserve">    "bio": "Skincare read against the actual studies, with patch tests on camera.",</t>
        </is>
      </c>
    </row>
    <row r="969" ht="15" customHeight="1" s="38">
      <c r="A969" s="84" t="inlineStr">
        <is>
          <t xml:space="preserve">    "languages": [</t>
        </is>
      </c>
    </row>
    <row r="970" ht="15" customHeight="1" s="38">
      <c r="A970" s="84" t="inlineStr">
        <is>
          <t xml:space="preserve">      "English",</t>
        </is>
      </c>
    </row>
    <row r="971" ht="15" customHeight="1" s="38">
      <c r="A971" s="84" t="inlineStr">
        <is>
          <t xml:space="preserve">      "French"</t>
        </is>
      </c>
    </row>
    <row r="972" ht="15" customHeight="1" s="38">
      <c r="A972" s="84" t="inlineStr">
        <is>
          <t xml:space="preserve">    ],</t>
        </is>
      </c>
    </row>
    <row r="973" ht="15" customHeight="1" s="38">
      <c r="A973" s="84" t="inlineStr">
        <is>
          <t xml:space="preserve">    "formatsOffered": [</t>
        </is>
      </c>
    </row>
    <row r="974" ht="15" customHeight="1" s="38">
      <c r="A974" s="84" t="inlineStr">
        <is>
          <t xml:space="preserve">      "Integrated",</t>
        </is>
      </c>
    </row>
    <row r="975" ht="15" customHeight="1" s="38">
      <c r="A975" s="84" t="inlineStr">
        <is>
          <t xml:space="preserve">      "Dedicated",</t>
        </is>
      </c>
    </row>
    <row r="976" ht="15" customHeight="1" s="38">
      <c r="A976" s="84" t="inlineStr">
        <is>
          <t xml:space="preserve">      "Short"</t>
        </is>
      </c>
    </row>
    <row r="977" ht="15" customHeight="1" s="38">
      <c r="A977" s="84" t="inlineStr">
        <is>
          <t xml:space="preserve">    ],</t>
        </is>
      </c>
    </row>
    <row r="978" ht="15" customHeight="1" s="38">
      <c r="A978" s="84" t="inlineStr">
        <is>
          <t xml:space="preserve">    "turnaroundDays": 14,</t>
        </is>
      </c>
    </row>
    <row r="979" ht="15" customHeight="1" s="38">
      <c r="A979" s="84" t="inlineStr">
        <is>
          <t xml:space="preserve">    "workedWith": [</t>
        </is>
      </c>
    </row>
    <row r="980" ht="15" customHeight="1" s="38">
      <c r="A980" s="84" t="inlineStr">
        <is>
          <t xml:space="preserve">      "Skincare",</t>
        </is>
      </c>
    </row>
    <row r="981" ht="15" customHeight="1" s="38">
      <c r="A981" s="84" t="inlineStr">
        <is>
          <t xml:space="preserve">      "Beauty Retail"</t>
        </is>
      </c>
    </row>
    <row r="982" ht="15" customHeight="1" s="38">
      <c r="A982" s="84" t="inlineStr">
        <is>
          <t xml:space="preserve">    ],</t>
        </is>
      </c>
    </row>
    <row r="983" ht="15" customHeight="1" s="38">
      <c r="A983" s="84" t="inlineStr">
        <is>
          <t xml:space="preserve">    "recentVideos": [</t>
        </is>
      </c>
    </row>
    <row r="984" ht="15" customHeight="1" s="38">
      <c r="A984" s="84" t="inlineStr">
        <is>
          <t xml:space="preserve">      {</t>
        </is>
      </c>
    </row>
    <row r="985" ht="15" customHeight="1" s="38">
      <c r="A985" s="84" t="inlineStr">
        <is>
          <t xml:space="preserve">        "title": "Retinol: What the Studies Actually Say",</t>
        </is>
      </c>
    </row>
    <row r="986" ht="15" customHeight="1" s="38">
      <c r="A986" s="84" t="inlineStr">
        <is>
          <t xml:space="preserve">        "daysAgo": 5,</t>
        </is>
      </c>
    </row>
    <row r="987" ht="15" customHeight="1" s="38">
      <c r="A987" s="84" t="inlineStr">
        <is>
          <t xml:space="preserve">        "views": 31000,</t>
        </is>
      </c>
    </row>
    <row r="988" ht="15" customHeight="1" s="38">
      <c r="A988" s="84" t="inlineStr">
        <is>
          <t xml:space="preserve">        "likes": 2300,</t>
        </is>
      </c>
    </row>
    <row r="989" ht="15" customHeight="1" s="38">
      <c r="A989" s="84" t="inlineStr">
        <is>
          <t xml:space="preserve">        "comments": 340,</t>
        </is>
      </c>
    </row>
    <row r="990" ht="15" customHeight="1" s="38">
      <c r="A990" s="84" t="inlineStr">
        <is>
          <t xml:space="preserve">        "hadSponsor": false,</t>
        </is>
      </c>
    </row>
    <row r="991" ht="15" customHeight="1" s="38">
      <c r="A991" s="84" t="inlineStr">
        <is>
          <t xml:space="preserve">        "topicTags": [</t>
        </is>
      </c>
    </row>
    <row r="992" ht="15" customHeight="1" s="38">
      <c r="A992" s="84" t="inlineStr">
        <is>
          <t xml:space="preserve">          "skincare",</t>
        </is>
      </c>
    </row>
    <row r="993" ht="15" customHeight="1" s="38">
      <c r="A993" s="84" t="inlineStr">
        <is>
          <t xml:space="preserve">          "science",</t>
        </is>
      </c>
    </row>
    <row r="994" ht="15" customHeight="1" s="38">
      <c r="A994" s="84" t="inlineStr">
        <is>
          <t xml:space="preserve">          "claims-risk"</t>
        </is>
      </c>
    </row>
    <row r="995" ht="15" customHeight="1" s="38">
      <c r="A995" s="84" t="inlineStr">
        <is>
          <t xml:space="preserve">        ]</t>
        </is>
      </c>
    </row>
    <row r="996" ht="15" customHeight="1" s="38">
      <c r="A996" s="84" t="inlineStr">
        <is>
          <t xml:space="preserve">      },</t>
        </is>
      </c>
    </row>
    <row r="997" ht="15" customHeight="1" s="38">
      <c r="A997" s="84" t="inlineStr">
        <is>
          <t xml:space="preserve">      {</t>
        </is>
      </c>
    </row>
    <row r="998" ht="15" customHeight="1" s="38">
      <c r="A998" s="84" t="inlineStr">
        <is>
          <t xml:space="preserve">        "title": "I Patch-Tested 8 Vitamin C Serums",</t>
        </is>
      </c>
    </row>
    <row r="999" ht="15" customHeight="1" s="38">
      <c r="A999" s="84" t="inlineStr">
        <is>
          <t xml:space="preserve">        "daysAgo": 15,</t>
        </is>
      </c>
    </row>
    <row r="1000" ht="15" customHeight="1" s="38">
      <c r="A1000" s="84" t="inlineStr">
        <is>
          <t xml:space="preserve">        "views": 24000,</t>
        </is>
      </c>
    </row>
    <row r="1001" ht="15" customHeight="1" s="38">
      <c r="A1001" s="84" t="inlineStr">
        <is>
          <t xml:space="preserve">        "likes": 1800,</t>
        </is>
      </c>
    </row>
    <row r="1002" ht="15" customHeight="1" s="38">
      <c r="A1002" s="84" t="inlineStr">
        <is>
          <t xml:space="preserve">        "comments": 265,</t>
        </is>
      </c>
    </row>
    <row r="1003" ht="15" customHeight="1" s="38">
      <c r="A1003" s="84" t="inlineStr">
        <is>
          <t xml:space="preserve">        "hadSponsor": true,</t>
        </is>
      </c>
    </row>
    <row r="1004" ht="15" customHeight="1" s="38">
      <c r="A1004" s="84" t="inlineStr">
        <is>
          <t xml:space="preserve">        "topicTags": [</t>
        </is>
      </c>
    </row>
    <row r="1005" ht="15" customHeight="1" s="38">
      <c r="A1005" s="84" t="inlineStr">
        <is>
          <t xml:space="preserve">          "comparison",</t>
        </is>
      </c>
    </row>
    <row r="1006" ht="15" customHeight="1" s="38">
      <c r="A1006" s="84" t="inlineStr">
        <is>
          <t xml:space="preserve">          "serum",</t>
        </is>
      </c>
    </row>
    <row r="1007" ht="15" customHeight="1" s="38">
      <c r="A1007" s="84" t="inlineStr">
        <is>
          <t xml:space="preserve">          "claims-risk"</t>
        </is>
      </c>
    </row>
    <row r="1008" ht="15" customHeight="1" s="38">
      <c r="A1008" s="84" t="inlineStr">
        <is>
          <t xml:space="preserve">        ]</t>
        </is>
      </c>
    </row>
    <row r="1009" ht="15" customHeight="1" s="38">
      <c r="A1009" s="84" t="inlineStr">
        <is>
          <t xml:space="preserve">      },</t>
        </is>
      </c>
    </row>
    <row r="1010" ht="15" customHeight="1" s="38">
      <c r="A1010" s="84" t="inlineStr">
        <is>
          <t xml:space="preserve">      {</t>
        </is>
      </c>
    </row>
    <row r="1011" ht="15" customHeight="1" s="38">
      <c r="A1011" s="84" t="inlineStr">
        <is>
          <t xml:space="preserve">        "title": "Your Moisturizer Isn't the Problem",</t>
        </is>
      </c>
    </row>
    <row r="1012" ht="15" customHeight="1" s="38">
      <c r="A1012" s="84" t="inlineStr">
        <is>
          <t xml:space="preserve">        "daysAgo": 25,</t>
        </is>
      </c>
    </row>
    <row r="1013" ht="15" customHeight="1" s="38">
      <c r="A1013" s="84" t="inlineStr">
        <is>
          <t xml:space="preserve">        "views": 23000,</t>
        </is>
      </c>
    </row>
    <row r="1014" ht="15" customHeight="1" s="38">
      <c r="A1014" s="84" t="inlineStr">
        <is>
          <t xml:space="preserve">        "likes": 1700,</t>
        </is>
      </c>
    </row>
    <row r="1015" ht="15" customHeight="1" s="38">
      <c r="A1015" s="84" t="inlineStr">
        <is>
          <t xml:space="preserve">        "comments": 250,</t>
        </is>
      </c>
    </row>
    <row r="1016" ht="15" customHeight="1" s="38">
      <c r="A1016" s="84" t="inlineStr">
        <is>
          <t xml:space="preserve">        "hadSponsor": false,</t>
        </is>
      </c>
    </row>
    <row r="1017" ht="15" customHeight="1" s="38">
      <c r="A1017" s="84" t="inlineStr">
        <is>
          <t xml:space="preserve">        "topicTags": [</t>
        </is>
      </c>
    </row>
    <row r="1018" ht="15" customHeight="1" s="38">
      <c r="A1018" s="84" t="inlineStr">
        <is>
          <t xml:space="preserve">          "skincare",</t>
        </is>
      </c>
    </row>
    <row r="1019" ht="15" customHeight="1" s="38">
      <c r="A1019" s="84" t="inlineStr">
        <is>
          <t xml:space="preserve">          "myth-busting"</t>
        </is>
      </c>
    </row>
    <row r="1020" ht="15" customHeight="1" s="38">
      <c r="A1020" s="84" t="inlineStr">
        <is>
          <t xml:space="preserve">        ]</t>
        </is>
      </c>
    </row>
    <row r="1021" ht="15" customHeight="1" s="38">
      <c r="A1021" s="84" t="inlineStr">
        <is>
          <t xml:space="preserve">      }</t>
        </is>
      </c>
    </row>
    <row r="1022" ht="15" customHeight="1" s="38">
      <c r="A1022" s="84" t="inlineStr">
        <is>
          <t xml:space="preserve">    ]</t>
        </is>
      </c>
    </row>
    <row r="1023" ht="15" customHeight="1" s="38">
      <c r="A1023" s="84" t="inlineStr">
        <is>
          <t xml:space="preserve">  },</t>
        </is>
      </c>
    </row>
    <row r="1024" ht="15" customHeight="1" s="38">
      <c r="A1024" s="84" t="inlineStr">
        <is>
          <t xml:space="preserve">  {</t>
        </is>
      </c>
    </row>
    <row r="1025" ht="15" customHeight="1" s="38">
      <c r="A1025" s="84" t="inlineStr">
        <is>
          <t xml:space="preserve">    "id": "marcus-hale",</t>
        </is>
      </c>
    </row>
    <row r="1026" ht="15" customHeight="1" s="38">
      <c r="A1026" s="84" t="inlineStr">
        <is>
          <t xml:space="preserve">    "name": "Marcus Hale",</t>
        </is>
      </c>
    </row>
    <row r="1027" ht="15" customHeight="1" s="38">
      <c r="A1027" s="84" t="inlineStr">
        <is>
          <t xml:space="preserve">    "handle": "@marcushalegames",</t>
        </is>
      </c>
    </row>
    <row r="1028" ht="15" customHeight="1" s="38">
      <c r="A1028" s="84" t="inlineStr">
        <is>
          <t xml:space="preserve">    "category": "Gaming",</t>
        </is>
      </c>
    </row>
    <row r="1029" ht="15" customHeight="1" s="38">
      <c r="A1029" s="84" t="inlineStr">
        <is>
          <t xml:space="preserve">    "tier": "Micro",</t>
        </is>
      </c>
    </row>
    <row r="1030" ht="15" customHeight="1" s="38">
      <c r="A1030" s="84" t="inlineStr">
        <is>
          <t xml:space="preserve">    "subscribers": 92000,</t>
        </is>
      </c>
    </row>
    <row r="1031" ht="15" customHeight="1" s="38">
      <c r="A1031" s="84" t="inlineStr">
        <is>
          <t xml:space="preserve">    "avgViews": 28000,</t>
        </is>
      </c>
    </row>
    <row r="1032" ht="15" customHeight="1" s="38">
      <c r="A1032" s="84" t="inlineStr">
        <is>
          <t xml:space="preserve">    "engagementRate": 0.032,</t>
        </is>
      </c>
    </row>
    <row r="1033" ht="15" customHeight="1" s="38">
      <c r="A1033" s="84" t="inlineStr">
        <is>
          <t xml:space="preserve">    "channelVerified": false,</t>
        </is>
      </c>
    </row>
    <row r="1034" ht="15" customHeight="1" s="38">
      <c r="A1034" s="84" t="inlineStr">
        <is>
          <t xml:space="preserve">    "safetyScore": 71,</t>
        </is>
      </c>
    </row>
    <row r="1035" ht="15" customHeight="1" s="38">
      <c r="A1035" s="84" t="inlineStr">
        <is>
          <t xml:space="preserve">    "audienceAge": "18-24",</t>
        </is>
      </c>
    </row>
    <row r="1036" ht="15" customHeight="1" s="38">
      <c r="A1036" s="84" t="inlineStr">
        <is>
          <t xml:space="preserve">    "audienceGender": "81% M",</t>
        </is>
      </c>
    </row>
    <row r="1037" ht="15" customHeight="1" s="38">
      <c r="A1037" s="84" t="inlineStr">
        <is>
          <t xml:space="preserve">    "topCountry": "US",</t>
        </is>
      </c>
    </row>
    <row r="1038" ht="15" customHeight="1" s="38">
      <c r="A1038" s="84" t="inlineStr">
        <is>
          <t xml:space="preserve">    "uploadCadence": "3 / week",</t>
        </is>
      </c>
    </row>
    <row r="1039" ht="15" customHeight="1" s="38">
      <c r="A1039" s="84" t="inlineStr">
        <is>
          <t xml:space="preserve">    "avgLengthMin": 22,</t>
        </is>
      </c>
    </row>
    <row r="1040" ht="15" customHeight="1" s="38">
      <c r="A1040" s="84" t="inlineStr">
        <is>
          <t xml:space="preserve">    "rates": {</t>
        </is>
      </c>
    </row>
    <row r="1041" ht="15" customHeight="1" s="38">
      <c r="A1041" s="84" t="inlineStr">
        <is>
          <t xml:space="preserve">      "integrated": 1150,</t>
        </is>
      </c>
    </row>
    <row r="1042" ht="15" customHeight="1" s="38">
      <c r="A1042" s="84" t="inlineStr">
        <is>
          <t xml:space="preserve">      "dedicated": 2600,</t>
        </is>
      </c>
    </row>
    <row r="1043" ht="15" customHeight="1" s="38">
      <c r="A1043" s="84" t="inlineStr">
        <is>
          <t xml:space="preserve">      "short": 700</t>
        </is>
      </c>
    </row>
    <row r="1044" ht="15" customHeight="1" s="38">
      <c r="A1044" s="84" t="inlineStr">
        <is>
          <t xml:space="preserve">    },</t>
        </is>
      </c>
    </row>
    <row r="1045" ht="15" customHeight="1" s="38">
      <c r="A1045" s="84" t="inlineStr">
        <is>
          <t xml:space="preserve">    "avatarInitials": "MH",</t>
        </is>
      </c>
    </row>
    <row r="1046" ht="15" customHeight="1" s="38">
      <c r="A1046" s="84" t="inlineStr">
        <is>
          <t xml:space="preserve">    "avatarColor": "#95A5A6",</t>
        </is>
      </c>
    </row>
    <row r="1047" ht="15" customHeight="1" s="38">
      <c r="A1047" s="84" t="inlineStr">
        <is>
          <t xml:space="preserve">    "bio": "Reaction and commentary on game launches, posted three times a week.",</t>
        </is>
      </c>
    </row>
    <row r="1048" ht="15" customHeight="1" s="38">
      <c r="A1048" s="84" t="inlineStr">
        <is>
          <t xml:space="preserve">    "languages": [</t>
        </is>
      </c>
    </row>
    <row r="1049" ht="15" customHeight="1" s="38">
      <c r="A1049" s="84" t="inlineStr">
        <is>
          <t xml:space="preserve">      "English"</t>
        </is>
      </c>
    </row>
    <row r="1050" ht="15" customHeight="1" s="38">
      <c r="A1050" s="84" t="inlineStr">
        <is>
          <t xml:space="preserve">    ],</t>
        </is>
      </c>
    </row>
    <row r="1051" ht="15" customHeight="1" s="38">
      <c r="A1051" s="84" t="inlineStr">
        <is>
          <t xml:space="preserve">    "formatsOffered": [</t>
        </is>
      </c>
    </row>
    <row r="1052" ht="15" customHeight="1" s="38">
      <c r="A1052" s="84" t="inlineStr">
        <is>
          <t xml:space="preserve">      "Integrated",</t>
        </is>
      </c>
    </row>
    <row r="1053" ht="15" customHeight="1" s="38">
      <c r="A1053" s="84" t="inlineStr">
        <is>
          <t xml:space="preserve">      "Short"</t>
        </is>
      </c>
    </row>
    <row r="1054" ht="15" customHeight="1" s="38">
      <c r="A1054" s="84" t="inlineStr">
        <is>
          <t xml:space="preserve">    ],</t>
        </is>
      </c>
    </row>
    <row r="1055" ht="15" customHeight="1" s="38">
      <c r="A1055" s="84" t="inlineStr">
        <is>
          <t xml:space="preserve">    "turnaroundDays": 5,</t>
        </is>
      </c>
    </row>
    <row r="1056" ht="15" customHeight="1" s="38">
      <c r="A1056" s="84" t="inlineStr">
        <is>
          <t xml:space="preserve">    "workedWith": [</t>
        </is>
      </c>
    </row>
    <row r="1057" ht="15" customHeight="1" s="38">
      <c r="A1057" s="84" t="inlineStr">
        <is>
          <t xml:space="preserve">      "Gaming Peripherals",</t>
        </is>
      </c>
    </row>
    <row r="1058" ht="15" customHeight="1" s="38">
      <c r="A1058" s="84" t="inlineStr">
        <is>
          <t xml:space="preserve">      "Energy Drinks"</t>
        </is>
      </c>
    </row>
    <row r="1059" ht="15" customHeight="1" s="38">
      <c r="A1059" s="84" t="inlineStr">
        <is>
          <t xml:space="preserve">    ],</t>
        </is>
      </c>
    </row>
    <row r="1060" ht="15" customHeight="1" s="38">
      <c r="A1060" s="84" t="inlineStr">
        <is>
          <t xml:space="preserve">    "recentVideos": [</t>
        </is>
      </c>
    </row>
    <row r="1061" ht="15" customHeight="1" s="38">
      <c r="A1061" s="84" t="inlineStr">
        <is>
          <t xml:space="preserve">      {</t>
        </is>
      </c>
    </row>
    <row r="1062" ht="15" customHeight="1" s="38">
      <c r="A1062" s="84" t="inlineStr">
        <is>
          <t xml:space="preserve">        "title": "Reacting to the Worst Game Launches",</t>
        </is>
      </c>
    </row>
    <row r="1063" ht="15" customHeight="1" s="38">
      <c r="A1063" s="84" t="inlineStr">
        <is>
          <t xml:space="preserve">        "daysAgo": 3,</t>
        </is>
      </c>
    </row>
    <row r="1064" ht="15" customHeight="1" s="38">
      <c r="A1064" s="84" t="inlineStr">
        <is>
          <t xml:space="preserve">        "views": 33000,</t>
        </is>
      </c>
    </row>
    <row r="1065" ht="15" customHeight="1" s="38">
      <c r="A1065" s="84" t="inlineStr">
        <is>
          <t xml:space="preserve">        "likes": 1050,</t>
        </is>
      </c>
    </row>
    <row r="1066" ht="15" customHeight="1" s="38">
      <c r="A1066" s="84" t="inlineStr">
        <is>
          <t xml:space="preserve">        "comments": 260,</t>
        </is>
      </c>
    </row>
    <row r="1067" ht="15" customHeight="1" s="38">
      <c r="A1067" s="84" t="inlineStr">
        <is>
          <t xml:space="preserve">        "hadSponsor": false,</t>
        </is>
      </c>
    </row>
    <row r="1068" ht="15" customHeight="1" s="38">
      <c r="A1068" s="84" t="inlineStr">
        <is>
          <t xml:space="preserve">        "topicTags": [</t>
        </is>
      </c>
    </row>
    <row r="1069" ht="15" customHeight="1" s="38">
      <c r="A1069" s="84" t="inlineStr">
        <is>
          <t xml:space="preserve">          "reaction",</t>
        </is>
      </c>
    </row>
    <row r="1070" ht="15" customHeight="1" s="38">
      <c r="A1070" s="84" t="inlineStr">
        <is>
          <t xml:space="preserve">          "commentary",</t>
        </is>
      </c>
    </row>
    <row r="1071" ht="15" customHeight="1" s="38">
      <c r="A1071" s="84" t="inlineStr">
        <is>
          <t xml:space="preserve">          "drama"</t>
        </is>
      </c>
    </row>
    <row r="1072" ht="15" customHeight="1" s="38">
      <c r="A1072" s="84" t="inlineStr">
        <is>
          <t xml:space="preserve">        ]</t>
        </is>
      </c>
    </row>
    <row r="1073" ht="15" customHeight="1" s="38">
      <c r="A1073" s="84" t="inlineStr">
        <is>
          <t xml:space="preserve">      },</t>
        </is>
      </c>
    </row>
    <row r="1074" ht="15" customHeight="1" s="38">
      <c r="A1074" s="84" t="inlineStr">
        <is>
          <t xml:space="preserve">      {</t>
        </is>
      </c>
    </row>
    <row r="1075" ht="15" customHeight="1" s="38">
      <c r="A1075" s="84" t="inlineStr">
        <is>
          <t xml:space="preserve">        "title": "Drama Recap: What Happened This Week",</t>
        </is>
      </c>
    </row>
    <row r="1076" ht="15" customHeight="1" s="38">
      <c r="A1076" s="84" t="inlineStr">
        <is>
          <t xml:space="preserve">        "daysAgo": 11,</t>
        </is>
      </c>
    </row>
    <row r="1077" ht="15" customHeight="1" s="38">
      <c r="A1077" s="84" t="inlineStr">
        <is>
          <t xml:space="preserve">        "views": 26000,</t>
        </is>
      </c>
    </row>
    <row r="1078" ht="15" customHeight="1" s="38">
      <c r="A1078" s="84" t="inlineStr">
        <is>
          <t xml:space="preserve">        "likes": 830,</t>
        </is>
      </c>
    </row>
    <row r="1079" ht="15" customHeight="1" s="38">
      <c r="A1079" s="84" t="inlineStr">
        <is>
          <t xml:space="preserve">        "comments": 210,</t>
        </is>
      </c>
    </row>
    <row r="1080" ht="15" customHeight="1" s="38">
      <c r="A1080" s="84" t="inlineStr">
        <is>
          <t xml:space="preserve">        "hadSponsor": false,</t>
        </is>
      </c>
    </row>
    <row r="1081" ht="15" customHeight="1" s="38">
      <c r="A1081" s="84" t="inlineStr">
        <is>
          <t xml:space="preserve">        "topicTags": [</t>
        </is>
      </c>
    </row>
    <row r="1082" ht="15" customHeight="1" s="38">
      <c r="A1082" s="84" t="inlineStr">
        <is>
          <t xml:space="preserve">          "drama",</t>
        </is>
      </c>
    </row>
    <row r="1083" ht="15" customHeight="1" s="38">
      <c r="A1083" s="84" t="inlineStr">
        <is>
          <t xml:space="preserve">          "commentary",</t>
        </is>
      </c>
    </row>
    <row r="1084" ht="15" customHeight="1" s="38">
      <c r="A1084" s="84" t="inlineStr">
        <is>
          <t xml:space="preserve">          "brand-risk"</t>
        </is>
      </c>
    </row>
    <row r="1085" ht="15" customHeight="1" s="38">
      <c r="A1085" s="84" t="inlineStr">
        <is>
          <t xml:space="preserve">        ]</t>
        </is>
      </c>
    </row>
    <row r="1086" ht="15" customHeight="1" s="38">
      <c r="A1086" s="84" t="inlineStr">
        <is>
          <t xml:space="preserve">      },</t>
        </is>
      </c>
    </row>
    <row r="1087" ht="15" customHeight="1" s="38">
      <c r="A1087" s="84" t="inlineStr">
        <is>
          <t xml:space="preserve">      {</t>
        </is>
      </c>
    </row>
    <row r="1088" ht="15" customHeight="1" s="38">
      <c r="A1088" s="84" t="inlineStr">
        <is>
          <t xml:space="preserve">        "title": "I Rage Quit 10 Games in a Row",</t>
        </is>
      </c>
    </row>
    <row r="1089" ht="15" customHeight="1" s="38">
      <c r="A1089" s="84" t="inlineStr">
        <is>
          <t xml:space="preserve">        "daysAgo": 20,</t>
        </is>
      </c>
    </row>
    <row r="1090" ht="15" customHeight="1" s="38">
      <c r="A1090" s="84" t="inlineStr">
        <is>
          <t xml:space="preserve">        "views": 25000,</t>
        </is>
      </c>
    </row>
    <row r="1091" ht="15" customHeight="1" s="38">
      <c r="A1091" s="84" t="inlineStr">
        <is>
          <t xml:space="preserve">        "likes": 800,</t>
        </is>
      </c>
    </row>
    <row r="1092" ht="15" customHeight="1" s="38">
      <c r="A1092" s="84" t="inlineStr">
        <is>
          <t xml:space="preserve">        "comments": 195,</t>
        </is>
      </c>
    </row>
    <row r="1093" ht="15" customHeight="1" s="38">
      <c r="A1093" s="84" t="inlineStr">
        <is>
          <t xml:space="preserve">        "hadSponsor": true,</t>
        </is>
      </c>
    </row>
    <row r="1094" ht="15" customHeight="1" s="38">
      <c r="A1094" s="84" t="inlineStr">
        <is>
          <t xml:space="preserve">        "topicTags": [</t>
        </is>
      </c>
    </row>
    <row r="1095" ht="15" customHeight="1" s="38">
      <c r="A1095" s="84" t="inlineStr">
        <is>
          <t xml:space="preserve">          "reaction",</t>
        </is>
      </c>
    </row>
    <row r="1096" ht="15" customHeight="1" s="38">
      <c r="A1096" s="84" t="inlineStr">
        <is>
          <t xml:space="preserve">          "language-risk"</t>
        </is>
      </c>
    </row>
    <row r="1097" ht="15" customHeight="1" s="38">
      <c r="A1097" s="84" t="inlineStr">
        <is>
          <t xml:space="preserve">        ]</t>
        </is>
      </c>
    </row>
    <row r="1098" ht="15" customHeight="1" s="38">
      <c r="A1098" s="84" t="inlineStr">
        <is>
          <t xml:space="preserve">      }</t>
        </is>
      </c>
    </row>
    <row r="1099" ht="15" customHeight="1" s="38">
      <c r="A1099" s="84" t="inlineStr">
        <is>
          <t xml:space="preserve">    ]</t>
        </is>
      </c>
    </row>
    <row r="1100" ht="15" customHeight="1" s="38">
      <c r="A1100" s="84" t="inlineStr">
        <is>
          <t xml:space="preserve">  },</t>
        </is>
      </c>
    </row>
    <row r="1101" ht="15" customHeight="1" s="38">
      <c r="A1101" s="84" t="inlineStr">
        <is>
          <t xml:space="preserve">  {</t>
        </is>
      </c>
    </row>
    <row r="1102" ht="15" customHeight="1" s="38">
      <c r="A1102" s="84" t="inlineStr">
        <is>
          <t xml:space="preserve">    "id": "elena-rossi",</t>
        </is>
      </c>
    </row>
    <row r="1103" ht="15" customHeight="1" s="38">
      <c r="A1103" s="84" t="inlineStr">
        <is>
          <t xml:space="preserve">    "name": "Elena Rossi",</t>
        </is>
      </c>
    </row>
    <row r="1104" ht="15" customHeight="1" s="38">
      <c r="A1104" s="84" t="inlineStr">
        <is>
          <t xml:space="preserve">    "handle": "@elenacooksitalian",</t>
        </is>
      </c>
    </row>
    <row r="1105" ht="15" customHeight="1" s="38">
      <c r="A1105" s="84" t="inlineStr">
        <is>
          <t xml:space="preserve">    "category": "Cooking",</t>
        </is>
      </c>
    </row>
    <row r="1106" ht="15" customHeight="1" s="38">
      <c r="A1106" s="84" t="inlineStr">
        <is>
          <t xml:space="preserve">    "tier": "Mid-tier",</t>
        </is>
      </c>
    </row>
    <row r="1107" ht="15" customHeight="1" s="38">
      <c r="A1107" s="84" t="inlineStr">
        <is>
          <t xml:space="preserve">    "subscribers": 204000,</t>
        </is>
      </c>
    </row>
    <row r="1108" ht="15" customHeight="1" s="38">
      <c r="A1108" s="84" t="inlineStr">
        <is>
          <t xml:space="preserve">    "avgViews": 88000,</t>
        </is>
      </c>
    </row>
    <row r="1109" ht="15" customHeight="1" s="38">
      <c r="A1109" s="84" t="inlineStr">
        <is>
          <t xml:space="preserve">    "engagementRate": 0.061,</t>
        </is>
      </c>
    </row>
    <row r="1110" ht="15" customHeight="1" s="38">
      <c r="A1110" s="84" t="inlineStr">
        <is>
          <t xml:space="preserve">    "channelVerified": true,</t>
        </is>
      </c>
    </row>
    <row r="1111" ht="15" customHeight="1" s="38">
      <c r="A1111" s="84" t="inlineStr">
        <is>
          <t xml:space="preserve">    "safetyScore": 96,</t>
        </is>
      </c>
    </row>
    <row r="1112" ht="15" customHeight="1" s="38">
      <c r="A1112" s="84" t="inlineStr">
        <is>
          <t xml:space="preserve">    "audienceAge": "25-44",</t>
        </is>
      </c>
    </row>
    <row r="1113" ht="15" customHeight="1" s="38">
      <c r="A1113" s="84" t="inlineStr">
        <is>
          <t xml:space="preserve">    "audienceGender": "63% F",</t>
        </is>
      </c>
    </row>
    <row r="1114" ht="15" customHeight="1" s="38">
      <c r="A1114" s="84" t="inlineStr">
        <is>
          <t xml:space="preserve">    "topCountry": "US",</t>
        </is>
      </c>
    </row>
    <row r="1115" ht="15" customHeight="1" s="38">
      <c r="A1115" s="84" t="inlineStr">
        <is>
          <t xml:space="preserve">    "uploadCadence": "1 / week",</t>
        </is>
      </c>
    </row>
    <row r="1116" ht="15" customHeight="1" s="38">
      <c r="A1116" s="84" t="inlineStr">
        <is>
          <t xml:space="preserve">    "avgLengthMin": 17,</t>
        </is>
      </c>
    </row>
    <row r="1117" ht="15" customHeight="1" s="38">
      <c r="A1117" s="84" t="inlineStr">
        <is>
          <t xml:space="preserve">    "rates": {</t>
        </is>
      </c>
    </row>
    <row r="1118" ht="15" customHeight="1" s="38">
      <c r="A1118" s="84" t="inlineStr">
        <is>
          <t xml:space="preserve">      "integrated": 2400,</t>
        </is>
      </c>
    </row>
    <row r="1119" ht="15" customHeight="1" s="38">
      <c r="A1119" s="84" t="inlineStr">
        <is>
          <t xml:space="preserve">      "dedicated": 5400,</t>
        </is>
      </c>
    </row>
    <row r="1120" ht="15" customHeight="1" s="38">
      <c r="A1120" s="84" t="inlineStr">
        <is>
          <t xml:space="preserve">      "short": 1200</t>
        </is>
      </c>
    </row>
    <row r="1121" ht="15" customHeight="1" s="38">
      <c r="A1121" s="84" t="inlineStr">
        <is>
          <t xml:space="preserve">    },</t>
        </is>
      </c>
    </row>
    <row r="1122" ht="15" customHeight="1" s="38">
      <c r="A1122" s="84" t="inlineStr">
        <is>
          <t xml:space="preserve">    "avatarInitials": "ER",</t>
        </is>
      </c>
    </row>
    <row r="1123" ht="15" customHeight="1" s="38">
      <c r="A1123" s="84" t="inlineStr">
        <is>
          <t xml:space="preserve">    "avatarColor": "#B03A2E",</t>
        </is>
      </c>
    </row>
    <row r="1124" ht="15" customHeight="1" s="38">
      <c r="A1124" s="84" t="inlineStr">
        <is>
          <t xml:space="preserve">    "bio": "Regional Italian cooking held to the standard it is actually cooked to.",</t>
        </is>
      </c>
    </row>
    <row r="1125" ht="15" customHeight="1" s="38">
      <c r="A1125" s="84" t="inlineStr">
        <is>
          <t xml:space="preserve">    "languages": [</t>
        </is>
      </c>
    </row>
    <row r="1126" ht="15" customHeight="1" s="38">
      <c r="A1126" s="84" t="inlineStr">
        <is>
          <t xml:space="preserve">      "English",</t>
        </is>
      </c>
    </row>
    <row r="1127" ht="15" customHeight="1" s="38">
      <c r="A1127" s="84" t="inlineStr">
        <is>
          <t xml:space="preserve">      "Italian"</t>
        </is>
      </c>
    </row>
    <row r="1128" ht="15" customHeight="1" s="38">
      <c r="A1128" s="84" t="inlineStr">
        <is>
          <t xml:space="preserve">    ],</t>
        </is>
      </c>
    </row>
    <row r="1129" ht="15" customHeight="1" s="38">
      <c r="A1129" s="84" t="inlineStr">
        <is>
          <t xml:space="preserve">    "formatsOffered": [</t>
        </is>
      </c>
    </row>
    <row r="1130" ht="15" customHeight="1" s="38">
      <c r="A1130" s="84" t="inlineStr">
        <is>
          <t xml:space="preserve">      "Dedicated",</t>
        </is>
      </c>
    </row>
    <row r="1131" ht="15" customHeight="1" s="38">
      <c r="A1131" s="84" t="inlineStr">
        <is>
          <t xml:space="preserve">      "Integrated"</t>
        </is>
      </c>
    </row>
    <row r="1132" ht="15" customHeight="1" s="38">
      <c r="A1132" s="84" t="inlineStr">
        <is>
          <t xml:space="preserve">    ],</t>
        </is>
      </c>
    </row>
    <row r="1133" ht="15" customHeight="1" s="38">
      <c r="A1133" s="84" t="inlineStr">
        <is>
          <t xml:space="preserve">    "turnaroundDays": 21,</t>
        </is>
      </c>
    </row>
    <row r="1134" ht="15" customHeight="1" s="38">
      <c r="A1134" s="84" t="inlineStr">
        <is>
          <t xml:space="preserve">    "workedWith": [</t>
        </is>
      </c>
    </row>
    <row r="1135" ht="15" customHeight="1" s="38">
      <c r="A1135" s="84" t="inlineStr">
        <is>
          <t xml:space="preserve">      "Grocery",</t>
        </is>
      </c>
    </row>
    <row r="1136" ht="15" customHeight="1" s="38">
      <c r="A1136" s="84" t="inlineStr">
        <is>
          <t xml:space="preserve">      "Kitchenware",</t>
        </is>
      </c>
    </row>
    <row r="1137" ht="15" customHeight="1" s="38">
      <c r="A1137" s="84" t="inlineStr">
        <is>
          <t xml:space="preserve">      "Travel"</t>
        </is>
      </c>
    </row>
    <row r="1138" ht="15" customHeight="1" s="38">
      <c r="A1138" s="84" t="inlineStr">
        <is>
          <t xml:space="preserve">    ],</t>
        </is>
      </c>
    </row>
    <row r="1139" ht="15" customHeight="1" s="38">
      <c r="A1139" s="84" t="inlineStr">
        <is>
          <t xml:space="preserve">    "recentVideos": [</t>
        </is>
      </c>
    </row>
    <row r="1140" ht="15" customHeight="1" s="38">
      <c r="A1140" s="84" t="inlineStr">
        <is>
          <t xml:space="preserve">      {</t>
        </is>
      </c>
    </row>
    <row r="1141" ht="15" customHeight="1" s="38">
      <c r="A1141" s="84" t="inlineStr">
        <is>
          <t xml:space="preserve">        "title": "Real Cacio e Pepe (Nonna Tested)",</t>
        </is>
      </c>
    </row>
    <row r="1142" ht="15" customHeight="1" s="38">
      <c r="A1142" s="84" t="inlineStr">
        <is>
          <t xml:space="preserve">        "daysAgo": 6,</t>
        </is>
      </c>
    </row>
    <row r="1143" ht="15" customHeight="1" s="38">
      <c r="A1143" s="84" t="inlineStr">
        <is>
          <t xml:space="preserve">        "views": 102000,</t>
        </is>
      </c>
    </row>
    <row r="1144" ht="15" customHeight="1" s="38">
      <c r="A1144" s="84" t="inlineStr">
        <is>
          <t xml:space="preserve">        "likes": 6200,</t>
        </is>
      </c>
    </row>
    <row r="1145" ht="15" customHeight="1" s="38">
      <c r="A1145" s="84" t="inlineStr">
        <is>
          <t xml:space="preserve">        "comments": 850,</t>
        </is>
      </c>
    </row>
    <row r="1146" ht="15" customHeight="1" s="38">
      <c r="A1146" s="84" t="inlineStr">
        <is>
          <t xml:space="preserve">        "hadSponsor": false,</t>
        </is>
      </c>
    </row>
    <row r="1147" ht="15" customHeight="1" s="38">
      <c r="A1147" s="84" t="inlineStr">
        <is>
          <t xml:space="preserve">        "topicTags": [</t>
        </is>
      </c>
    </row>
    <row r="1148" ht="15" customHeight="1" s="38">
      <c r="A1148" s="84" t="inlineStr">
        <is>
          <t xml:space="preserve">          "recipe",</t>
        </is>
      </c>
    </row>
    <row r="1149" ht="15" customHeight="1" s="38">
      <c r="A1149" s="84" t="inlineStr">
        <is>
          <t xml:space="preserve">          "italian",</t>
        </is>
      </c>
    </row>
    <row r="1150" ht="15" customHeight="1" s="38">
      <c r="A1150" s="84" t="inlineStr">
        <is>
          <t xml:space="preserve">          "technique"</t>
        </is>
      </c>
    </row>
    <row r="1151" ht="15" customHeight="1" s="38">
      <c r="A1151" s="84" t="inlineStr">
        <is>
          <t xml:space="preserve">        ]</t>
        </is>
      </c>
    </row>
    <row r="1152" ht="15" customHeight="1" s="38">
      <c r="A1152" s="84" t="inlineStr">
        <is>
          <t xml:space="preserve">      },</t>
        </is>
      </c>
    </row>
    <row r="1153" ht="15" customHeight="1" s="38">
      <c r="A1153" s="84" t="inlineStr">
        <is>
          <t xml:space="preserve">      {</t>
        </is>
      </c>
    </row>
    <row r="1154" ht="15" customHeight="1" s="38">
      <c r="A1154" s="84" t="inlineStr">
        <is>
          <t xml:space="preserve">        "title": "Every Pasta Shape and What It's For",</t>
        </is>
      </c>
    </row>
    <row r="1155" ht="15" customHeight="1" s="38">
      <c r="A1155" s="84" t="inlineStr">
        <is>
          <t xml:space="preserve">        "daysAgo": 15,</t>
        </is>
      </c>
    </row>
    <row r="1156" ht="15" customHeight="1" s="38">
      <c r="A1156" s="84" t="inlineStr">
        <is>
          <t xml:space="preserve">        "views": 83000,</t>
        </is>
      </c>
    </row>
    <row r="1157" ht="15" customHeight="1" s="38">
      <c r="A1157" s="84" t="inlineStr">
        <is>
          <t xml:space="preserve">        "likes": 5000,</t>
        </is>
      </c>
    </row>
    <row r="1158" ht="15" customHeight="1" s="38">
      <c r="A1158" s="84" t="inlineStr">
        <is>
          <t xml:space="preserve">        "comments": 690,</t>
        </is>
      </c>
    </row>
    <row r="1159" ht="15" customHeight="1" s="38">
      <c r="A1159" s="84" t="inlineStr">
        <is>
          <t xml:space="preserve">        "hadSponsor": false,</t>
        </is>
      </c>
    </row>
    <row r="1160" ht="15" customHeight="1" s="38">
      <c r="A1160" s="84" t="inlineStr">
        <is>
          <t xml:space="preserve">        "topicTags": [</t>
        </is>
      </c>
    </row>
    <row r="1161" ht="15" customHeight="1" s="38">
      <c r="A1161" s="84" t="inlineStr">
        <is>
          <t xml:space="preserve">          "explainer",</t>
        </is>
      </c>
    </row>
    <row r="1162" ht="15" customHeight="1" s="38">
      <c r="A1162" s="84" t="inlineStr">
        <is>
          <t xml:space="preserve">          "pasta",</t>
        </is>
      </c>
    </row>
    <row r="1163" ht="15" customHeight="1" s="38">
      <c r="A1163" s="84" t="inlineStr">
        <is>
          <t xml:space="preserve">          "reference"</t>
        </is>
      </c>
    </row>
    <row r="1164" ht="15" customHeight="1" s="38">
      <c r="A1164" s="84" t="inlineStr">
        <is>
          <t xml:space="preserve">        ]</t>
        </is>
      </c>
    </row>
    <row r="1165" ht="15" customHeight="1" s="38">
      <c r="A1165" s="84" t="inlineStr">
        <is>
          <t xml:space="preserve">      },</t>
        </is>
      </c>
    </row>
    <row r="1166" ht="15" customHeight="1" s="38">
      <c r="A1166" s="84" t="inlineStr">
        <is>
          <t xml:space="preserve">      {</t>
        </is>
      </c>
    </row>
    <row r="1167" ht="15" customHeight="1" s="38">
      <c r="A1167" s="84" t="inlineStr">
        <is>
          <t xml:space="preserve">        "title": "I Made Pasta With Supermarket Flour Only",</t>
        </is>
      </c>
    </row>
    <row r="1168" ht="15" customHeight="1" s="38">
      <c r="A1168" s="84" t="inlineStr">
        <is>
          <t xml:space="preserve">        "daysAgo": 25,</t>
        </is>
      </c>
    </row>
    <row r="1169" ht="15" customHeight="1" s="38">
      <c r="A1169" s="84" t="inlineStr">
        <is>
          <t xml:space="preserve">        "views": 79000,</t>
        </is>
      </c>
    </row>
    <row r="1170" ht="15" customHeight="1" s="38">
      <c r="A1170" s="84" t="inlineStr">
        <is>
          <t xml:space="preserve">        "likes": 4800,</t>
        </is>
      </c>
    </row>
    <row r="1171" ht="15" customHeight="1" s="38">
      <c r="A1171" s="84" t="inlineStr">
        <is>
          <t xml:space="preserve">        "comments": 660,</t>
        </is>
      </c>
    </row>
    <row r="1172" ht="15" customHeight="1" s="38">
      <c r="A1172" s="84" t="inlineStr">
        <is>
          <t xml:space="preserve">        "hadSponsor": true,</t>
        </is>
      </c>
    </row>
    <row r="1173" ht="15" customHeight="1" s="38">
      <c r="A1173" s="84" t="inlineStr">
        <is>
          <t xml:space="preserve">        "topicTags": [</t>
        </is>
      </c>
    </row>
    <row r="1174" ht="15" customHeight="1" s="38">
      <c r="A1174" s="84" t="inlineStr">
        <is>
          <t xml:space="preserve">          "experiment",</t>
        </is>
      </c>
    </row>
    <row r="1175" ht="15" customHeight="1" s="38">
      <c r="A1175" s="84" t="inlineStr">
        <is>
          <t xml:space="preserve">          "pantry",</t>
        </is>
      </c>
    </row>
    <row r="1176" ht="15" customHeight="1" s="38">
      <c r="A1176" s="84" t="inlineStr">
        <is>
          <t xml:space="preserve">          "pasta"</t>
        </is>
      </c>
    </row>
    <row r="1177" ht="15" customHeight="1" s="38">
      <c r="A1177" s="84" t="inlineStr">
        <is>
          <t xml:space="preserve">        ]</t>
        </is>
      </c>
    </row>
    <row r="1178" ht="15" customHeight="1" s="38">
      <c r="A1178" s="84" t="inlineStr">
        <is>
          <t xml:space="preserve">      }</t>
        </is>
      </c>
    </row>
    <row r="1179" ht="15" customHeight="1" s="38">
      <c r="A1179" s="84" t="inlineStr">
        <is>
          <t xml:space="preserve">    ]</t>
        </is>
      </c>
    </row>
    <row r="1180" ht="15" customHeight="1" s="38">
      <c r="A1180" s="84" t="inlineStr">
        <is>
          <t xml:space="preserve">  },</t>
        </is>
      </c>
    </row>
    <row r="1181" ht="15" customHeight="1" s="38">
      <c r="A1181" s="84" t="inlineStr">
        <is>
          <t xml:space="preserve">  {</t>
        </is>
      </c>
    </row>
    <row r="1182" ht="15" customHeight="1" s="38">
      <c r="A1182" s="84" t="inlineStr">
        <is>
          <t xml:space="preserve">    "id": "devon-clarke",</t>
        </is>
      </c>
    </row>
    <row r="1183" ht="15" customHeight="1" s="38">
      <c r="A1183" s="84" t="inlineStr">
        <is>
          <t xml:space="preserve">    "name": "Devon Clarke",</t>
        </is>
      </c>
    </row>
    <row r="1184" ht="15" customHeight="1" s="38">
      <c r="A1184" s="84" t="inlineStr">
        <is>
          <t xml:space="preserve">    "handle": "@devonfitlife",</t>
        </is>
      </c>
    </row>
    <row r="1185" ht="15" customHeight="1" s="38">
      <c r="A1185" s="84" t="inlineStr">
        <is>
          <t xml:space="preserve">    "category": "Fitness",</t>
        </is>
      </c>
    </row>
    <row r="1186" ht="15" customHeight="1" s="38">
      <c r="A1186" s="84" t="inlineStr">
        <is>
          <t xml:space="preserve">    "tier": "Mid-tier",</t>
        </is>
      </c>
    </row>
    <row r="1187" ht="15" customHeight="1" s="38">
      <c r="A1187" s="84" t="inlineStr">
        <is>
          <t xml:space="preserve">    "subscribers": 128000,</t>
        </is>
      </c>
    </row>
    <row r="1188" ht="15" customHeight="1" s="38">
      <c r="A1188" s="84" t="inlineStr">
        <is>
          <t xml:space="preserve">    "avgViews": 41000,</t>
        </is>
      </c>
    </row>
    <row r="1189" ht="15" customHeight="1" s="38">
      <c r="A1189" s="84" t="inlineStr">
        <is>
          <t xml:space="preserve">    "engagementRate": 0.038,</t>
        </is>
      </c>
    </row>
    <row r="1190" ht="15" customHeight="1" s="38">
      <c r="A1190" s="84" t="inlineStr">
        <is>
          <t xml:space="preserve">    "channelVerified": true,</t>
        </is>
      </c>
    </row>
    <row r="1191" ht="15" customHeight="1" s="38">
      <c r="A1191" s="84" t="inlineStr">
        <is>
          <t xml:space="preserve">    "safetyScore": 87,</t>
        </is>
      </c>
    </row>
    <row r="1192" ht="15" customHeight="1" s="38">
      <c r="A1192" s="84" t="inlineStr">
        <is>
          <t xml:space="preserve">    "audienceAge": "18-34",</t>
        </is>
      </c>
    </row>
    <row r="1193" ht="15" customHeight="1" s="38">
      <c r="A1193" s="84" t="inlineStr">
        <is>
          <t xml:space="preserve">    "audienceGender": "55% M",</t>
        </is>
      </c>
    </row>
    <row r="1194" ht="15" customHeight="1" s="38">
      <c r="A1194" s="84" t="inlineStr">
        <is>
          <t xml:space="preserve">    "topCountry": "US",</t>
        </is>
      </c>
    </row>
    <row r="1195" ht="15" customHeight="1" s="38">
      <c r="A1195" s="84" t="inlineStr">
        <is>
          <t xml:space="preserve">    "uploadCadence": "2 / week",</t>
        </is>
      </c>
    </row>
    <row r="1196" ht="15" customHeight="1" s="38">
      <c r="A1196" s="84" t="inlineStr">
        <is>
          <t xml:space="preserve">    "avgLengthMin": 14,</t>
        </is>
      </c>
    </row>
    <row r="1197" ht="15" customHeight="1" s="38">
      <c r="A1197" s="84" t="inlineStr">
        <is>
          <t xml:space="preserve">    "rates": {</t>
        </is>
      </c>
    </row>
    <row r="1198" ht="15" customHeight="1" s="38">
      <c r="A1198" s="84" t="inlineStr">
        <is>
          <t xml:space="preserve">      "integrated": 1700,</t>
        </is>
      </c>
    </row>
    <row r="1199" ht="15" customHeight="1" s="38">
      <c r="A1199" s="84" t="inlineStr">
        <is>
          <t xml:space="preserve">      "dedicated": 3800,</t>
        </is>
      </c>
    </row>
    <row r="1200" ht="15" customHeight="1" s="38">
      <c r="A1200" s="84" t="inlineStr">
        <is>
          <t xml:space="preserve">      "short": 850</t>
        </is>
      </c>
    </row>
    <row r="1201" ht="15" customHeight="1" s="38">
      <c r="A1201" s="84" t="inlineStr">
        <is>
          <t xml:space="preserve">    },</t>
        </is>
      </c>
    </row>
    <row r="1202" ht="15" customHeight="1" s="38">
      <c r="A1202" s="84" t="inlineStr">
        <is>
          <t xml:space="preserve">    "avatarInitials": "DC",</t>
        </is>
      </c>
    </row>
    <row r="1203" ht="15" customHeight="1" s="38">
      <c r="A1203" s="84" t="inlineStr">
        <is>
          <t xml:space="preserve">    "avatarColor": "#1F618D",</t>
        </is>
      </c>
    </row>
    <row r="1204" ht="15" customHeight="1" s="38">
      <c r="A1204" s="84" t="inlineStr">
        <is>
          <t xml:space="preserve">    "bio": "Training programmes run in full and reported with the numbers that came out.",</t>
        </is>
      </c>
    </row>
    <row r="1205" ht="15" customHeight="1" s="38">
      <c r="A1205" s="84" t="inlineStr">
        <is>
          <t xml:space="preserve">    "languages": [</t>
        </is>
      </c>
    </row>
    <row r="1206" ht="15" customHeight="1" s="38">
      <c r="A1206" s="84" t="inlineStr">
        <is>
          <t xml:space="preserve">      "English"</t>
        </is>
      </c>
    </row>
    <row r="1207" ht="15" customHeight="1" s="38">
      <c r="A1207" s="84" t="inlineStr">
        <is>
          <t xml:space="preserve">    ],</t>
        </is>
      </c>
    </row>
    <row r="1208" ht="15" customHeight="1" s="38">
      <c r="A1208" s="84" t="inlineStr">
        <is>
          <t xml:space="preserve">    "formatsOffered": [</t>
        </is>
      </c>
    </row>
    <row r="1209" ht="15" customHeight="1" s="38">
      <c r="A1209" s="84" t="inlineStr">
        <is>
          <t xml:space="preserve">      "Integrated",</t>
        </is>
      </c>
    </row>
    <row r="1210" ht="15" customHeight="1" s="38">
      <c r="A1210" s="84" t="inlineStr">
        <is>
          <t xml:space="preserve">      "Dedicated"</t>
        </is>
      </c>
    </row>
    <row r="1211" ht="15" customHeight="1" s="38">
      <c r="A1211" s="84" t="inlineStr">
        <is>
          <t xml:space="preserve">    ],</t>
        </is>
      </c>
    </row>
    <row r="1212" ht="15" customHeight="1" s="38">
      <c r="A1212" s="84" t="inlineStr">
        <is>
          <t xml:space="preserve">    "turnaroundDays": 14,</t>
        </is>
      </c>
    </row>
    <row r="1213" ht="15" customHeight="1" s="38">
      <c r="A1213" s="84" t="inlineStr">
        <is>
          <t xml:space="preserve">    "workedWith": [</t>
        </is>
      </c>
    </row>
    <row r="1214" ht="15" customHeight="1" s="38">
      <c r="A1214" s="84" t="inlineStr">
        <is>
          <t xml:space="preserve">      "Fitness Equipment",</t>
        </is>
      </c>
    </row>
    <row r="1215" ht="15" customHeight="1" s="38">
      <c r="A1215" s="84" t="inlineStr">
        <is>
          <t xml:space="preserve">      "Apparel"</t>
        </is>
      </c>
    </row>
    <row r="1216" ht="15" customHeight="1" s="38">
      <c r="A1216" s="84" t="inlineStr">
        <is>
          <t xml:space="preserve">    ],</t>
        </is>
      </c>
    </row>
    <row r="1217" ht="15" customHeight="1" s="38">
      <c r="A1217" s="84" t="inlineStr">
        <is>
          <t xml:space="preserve">    "recentVideos": [</t>
        </is>
      </c>
    </row>
    <row r="1218" ht="15" customHeight="1" s="38">
      <c r="A1218" s="84" t="inlineStr">
        <is>
          <t xml:space="preserve">      {</t>
        </is>
      </c>
    </row>
    <row r="1219" ht="15" customHeight="1" s="38">
      <c r="A1219" s="84" t="inlineStr">
        <is>
          <t xml:space="preserve">        "title": "12-Week Transformation - Honest Numbers",</t>
        </is>
      </c>
    </row>
    <row r="1220" ht="15" customHeight="1" s="38">
      <c r="A1220" s="84" t="inlineStr">
        <is>
          <t xml:space="preserve">        "daysAgo": 7,</t>
        </is>
      </c>
    </row>
    <row r="1221" ht="15" customHeight="1" s="38">
      <c r="A1221" s="84" t="inlineStr">
        <is>
          <t xml:space="preserve">        "views": 47000,</t>
        </is>
      </c>
    </row>
    <row r="1222" ht="15" customHeight="1" s="38">
      <c r="A1222" s="84" t="inlineStr">
        <is>
          <t xml:space="preserve">        "likes": 1800,</t>
        </is>
      </c>
    </row>
    <row r="1223" ht="15" customHeight="1" s="38">
      <c r="A1223" s="84" t="inlineStr">
        <is>
          <t xml:space="preserve">        "comments": 340,</t>
        </is>
      </c>
    </row>
    <row r="1224" ht="15" customHeight="1" s="38">
      <c r="A1224" s="84" t="inlineStr">
        <is>
          <t xml:space="preserve">        "hadSponsor": true,</t>
        </is>
      </c>
    </row>
    <row r="1225" ht="15" customHeight="1" s="38">
      <c r="A1225" s="84" t="inlineStr">
        <is>
          <t xml:space="preserve">        "topicTags": [</t>
        </is>
      </c>
    </row>
    <row r="1226" ht="15" customHeight="1" s="38">
      <c r="A1226" s="84" t="inlineStr">
        <is>
          <t xml:space="preserve">          "transformation",</t>
        </is>
      </c>
    </row>
    <row r="1227" ht="15" customHeight="1" s="38">
      <c r="A1227" s="84" t="inlineStr">
        <is>
          <t xml:space="preserve">          "claims-risk"</t>
        </is>
      </c>
    </row>
    <row r="1228" ht="15" customHeight="1" s="38">
      <c r="A1228" s="84" t="inlineStr">
        <is>
          <t xml:space="preserve">        ]</t>
        </is>
      </c>
    </row>
    <row r="1229" ht="15" customHeight="1" s="38">
      <c r="A1229" s="84" t="inlineStr">
        <is>
          <t xml:space="preserve">      },</t>
        </is>
      </c>
    </row>
    <row r="1230" ht="15" customHeight="1" s="38">
      <c r="A1230" s="84" t="inlineStr">
        <is>
          <t xml:space="preserve">      {</t>
        </is>
      </c>
    </row>
    <row r="1231" ht="15" customHeight="1" s="38">
      <c r="A1231" s="84" t="inlineStr">
        <is>
          <t xml:space="preserve">        "title": "The Only 4 Lifts You Need",</t>
        </is>
      </c>
    </row>
    <row r="1232" ht="15" customHeight="1" s="38">
      <c r="A1232" s="84" t="inlineStr">
        <is>
          <t xml:space="preserve">        "daysAgo": 17,</t>
        </is>
      </c>
    </row>
    <row r="1233" ht="15" customHeight="1" s="38">
      <c r="A1233" s="84" t="inlineStr">
        <is>
          <t xml:space="preserve">        "views": 38000,</t>
        </is>
      </c>
    </row>
    <row r="1234" ht="15" customHeight="1" s="38">
      <c r="A1234" s="84" t="inlineStr">
        <is>
          <t xml:space="preserve">        "likes": 1450,</t>
        </is>
      </c>
    </row>
    <row r="1235" ht="15" customHeight="1" s="38">
      <c r="A1235" s="84" t="inlineStr">
        <is>
          <t xml:space="preserve">        "comments": 270,</t>
        </is>
      </c>
    </row>
    <row r="1236" ht="15" customHeight="1" s="38">
      <c r="A1236" s="84" t="inlineStr">
        <is>
          <t xml:space="preserve">        "hadSponsor": false,</t>
        </is>
      </c>
    </row>
    <row r="1237" ht="15" customHeight="1" s="38">
      <c r="A1237" s="84" t="inlineStr">
        <is>
          <t xml:space="preserve">        "topicTags": [</t>
        </is>
      </c>
    </row>
    <row r="1238" ht="15" customHeight="1" s="38">
      <c r="A1238" s="84" t="inlineStr">
        <is>
          <t xml:space="preserve">          "strength",</t>
        </is>
      </c>
    </row>
    <row r="1239" ht="15" customHeight="1" s="38">
      <c r="A1239" s="84" t="inlineStr">
        <is>
          <t xml:space="preserve">          "program"</t>
        </is>
      </c>
    </row>
    <row r="1240" ht="15" customHeight="1" s="38">
      <c r="A1240" s="84" t="inlineStr">
        <is>
          <t xml:space="preserve">        ]</t>
        </is>
      </c>
    </row>
    <row r="1241" ht="15" customHeight="1" s="38">
      <c r="A1241" s="84" t="inlineStr">
        <is>
          <t xml:space="preserve">      },</t>
        </is>
      </c>
    </row>
    <row r="1242" ht="15" customHeight="1" s="38">
      <c r="A1242" s="84" t="inlineStr">
        <is>
          <t xml:space="preserve">      {</t>
        </is>
      </c>
    </row>
    <row r="1243" ht="15" customHeight="1" s="38">
      <c r="A1243" s="84" t="inlineStr">
        <is>
          <t xml:space="preserve">        "title": "I Tried the Viral 75 Hard Challenge",</t>
        </is>
      </c>
    </row>
    <row r="1244" ht="15" customHeight="1" s="38">
      <c r="A1244" s="84" t="inlineStr">
        <is>
          <t xml:space="preserve">        "daysAgo": 27,</t>
        </is>
      </c>
    </row>
    <row r="1245" ht="15" customHeight="1" s="38">
      <c r="A1245" s="84" t="inlineStr">
        <is>
          <t xml:space="preserve">        "views": 39000,</t>
        </is>
      </c>
    </row>
    <row r="1246" ht="15" customHeight="1" s="38">
      <c r="A1246" s="84" t="inlineStr">
        <is>
          <t xml:space="preserve">        "likes": 1500,</t>
        </is>
      </c>
    </row>
    <row r="1247" ht="15" customHeight="1" s="38">
      <c r="A1247" s="84" t="inlineStr">
        <is>
          <t xml:space="preserve">        "comments": 280,</t>
        </is>
      </c>
    </row>
    <row r="1248" ht="15" customHeight="1" s="38">
      <c r="A1248" s="84" t="inlineStr">
        <is>
          <t xml:space="preserve">        "hadSponsor": false,</t>
        </is>
      </c>
    </row>
    <row r="1249" ht="15" customHeight="1" s="38">
      <c r="A1249" s="84" t="inlineStr">
        <is>
          <t xml:space="preserve">        "topicTags": [</t>
        </is>
      </c>
    </row>
    <row r="1250" ht="15" customHeight="1" s="38">
      <c r="A1250" s="84" t="inlineStr">
        <is>
          <t xml:space="preserve">          "challenge",</t>
        </is>
      </c>
    </row>
    <row r="1251" ht="15" customHeight="1" s="38">
      <c r="A1251" s="84" t="inlineStr">
        <is>
          <t xml:space="preserve">          "trend"</t>
        </is>
      </c>
    </row>
    <row r="1252" ht="15" customHeight="1" s="38">
      <c r="A1252" s="84" t="inlineStr">
        <is>
          <t xml:space="preserve">        ]</t>
        </is>
      </c>
    </row>
    <row r="1253" ht="15" customHeight="1" s="38">
      <c r="A1253" s="84" t="inlineStr">
        <is>
          <t xml:space="preserve">      }</t>
        </is>
      </c>
    </row>
    <row r="1254" ht="15" customHeight="1" s="38">
      <c r="A1254" s="84" t="inlineStr">
        <is>
          <t xml:space="preserve">    ]</t>
        </is>
      </c>
    </row>
    <row r="1255" ht="15" customHeight="1" s="38">
      <c r="A1255" s="84" t="inlineStr">
        <is>
          <t xml:space="preserve">  },</t>
        </is>
      </c>
    </row>
    <row r="1256" ht="15" customHeight="1" s="38">
      <c r="A1256" s="84" t="inlineStr">
        <is>
          <t xml:space="preserve">  {</t>
        </is>
      </c>
    </row>
    <row r="1257" ht="15" customHeight="1" s="38">
      <c r="A1257" s="84" t="inlineStr">
        <is>
          <t xml:space="preserve">    "id": "yuki-tanaka",</t>
        </is>
      </c>
    </row>
    <row r="1258" ht="15" customHeight="1" s="38">
      <c r="A1258" s="84" t="inlineStr">
        <is>
          <t xml:space="preserve">    "name": "Yuki Tanaka",</t>
        </is>
      </c>
    </row>
    <row r="1259" ht="15" customHeight="1" s="38">
      <c r="A1259" s="84" t="inlineStr">
        <is>
          <t xml:space="preserve">    "handle": "@yukitechjp",</t>
        </is>
      </c>
    </row>
    <row r="1260" ht="15" customHeight="1" s="38">
      <c r="A1260" s="84" t="inlineStr">
        <is>
          <t xml:space="preserve">    "category": "Tech Reviews",</t>
        </is>
      </c>
    </row>
    <row r="1261" ht="15" customHeight="1" s="38">
      <c r="A1261" s="84" t="inlineStr">
        <is>
          <t xml:space="preserve">    "tier": "Mid-tier",</t>
        </is>
      </c>
    </row>
    <row r="1262" ht="15" customHeight="1" s="38">
      <c r="A1262" s="84" t="inlineStr">
        <is>
          <t xml:space="preserve">    "subscribers": 470000,</t>
        </is>
      </c>
    </row>
    <row r="1263" ht="15" customHeight="1" s="38">
      <c r="A1263" s="84" t="inlineStr">
        <is>
          <t xml:space="preserve">    "avgViews": 155000,</t>
        </is>
      </c>
    </row>
    <row r="1264" ht="15" customHeight="1" s="38">
      <c r="A1264" s="84" t="inlineStr">
        <is>
          <t xml:space="preserve">    "engagementRate": 0.049,</t>
        </is>
      </c>
    </row>
    <row r="1265" ht="15" customHeight="1" s="38">
      <c r="A1265" s="84" t="inlineStr">
        <is>
          <t xml:space="preserve">    "channelVerified": true,</t>
        </is>
      </c>
    </row>
    <row r="1266" ht="15" customHeight="1" s="38">
      <c r="A1266" s="84" t="inlineStr">
        <is>
          <t xml:space="preserve">    "safetyScore": 89,</t>
        </is>
      </c>
    </row>
    <row r="1267" ht="15" customHeight="1" s="38">
      <c r="A1267" s="84" t="inlineStr">
        <is>
          <t xml:space="preserve">    "audienceAge": "18-34",</t>
        </is>
      </c>
    </row>
    <row r="1268" ht="15" customHeight="1" s="38">
      <c r="A1268" s="84" t="inlineStr">
        <is>
          <t xml:space="preserve">    "audienceGender": "74% M",</t>
        </is>
      </c>
    </row>
    <row r="1269" ht="15" customHeight="1" s="38">
      <c r="A1269" s="84" t="inlineStr">
        <is>
          <t xml:space="preserve">    "topCountry": "JP",</t>
        </is>
      </c>
    </row>
    <row r="1270" ht="15" customHeight="1" s="38">
      <c r="A1270" s="84" t="inlineStr">
        <is>
          <t xml:space="preserve">    "uploadCadence": "2 / week",</t>
        </is>
      </c>
    </row>
    <row r="1271" ht="15" customHeight="1" s="38">
      <c r="A1271" s="84" t="inlineStr">
        <is>
          <t xml:space="preserve">    "avgLengthMin": 16,</t>
        </is>
      </c>
    </row>
    <row r="1272" ht="15" customHeight="1" s="38">
      <c r="A1272" s="84" t="inlineStr">
        <is>
          <t xml:space="preserve">    "rates": {</t>
        </is>
      </c>
    </row>
    <row r="1273" ht="15" customHeight="1" s="38">
      <c r="A1273" s="84" t="inlineStr">
        <is>
          <t xml:space="preserve">      "integrated": 4200,</t>
        </is>
      </c>
    </row>
    <row r="1274" ht="15" customHeight="1" s="38">
      <c r="A1274" s="84" t="inlineStr">
        <is>
          <t xml:space="preserve">      "dedicated": 9500,</t>
        </is>
      </c>
    </row>
    <row r="1275" ht="15" customHeight="1" s="38">
      <c r="A1275" s="84" t="inlineStr">
        <is>
          <t xml:space="preserve">      "short": 1900</t>
        </is>
      </c>
    </row>
    <row r="1276" ht="15" customHeight="1" s="38">
      <c r="A1276" s="84" t="inlineStr">
        <is>
          <t xml:space="preserve">    },</t>
        </is>
      </c>
    </row>
    <row r="1277" ht="15" customHeight="1" s="38">
      <c r="A1277" s="84" t="inlineStr">
        <is>
          <t xml:space="preserve">    "avatarInitials": "YT",</t>
        </is>
      </c>
    </row>
    <row r="1278" ht="15" customHeight="1" s="38">
      <c r="A1278" s="84" t="inlineStr">
        <is>
          <t xml:space="preserve">    "avatarColor": "#212F3D",</t>
        </is>
      </c>
    </row>
    <row r="1279" ht="15" customHeight="1" s="38">
      <c r="A1279" s="84" t="inlineStr">
        <is>
          <t xml:space="preserve">    "bio": "Hardware teardowns and measured tests, including gear that never leaves Japan.",</t>
        </is>
      </c>
    </row>
    <row r="1280" ht="15" customHeight="1" s="38">
      <c r="A1280" s="84" t="inlineStr">
        <is>
          <t xml:space="preserve">    "languages": [</t>
        </is>
      </c>
    </row>
    <row r="1281" ht="15" customHeight="1" s="38">
      <c r="A1281" s="84" t="inlineStr">
        <is>
          <t xml:space="preserve">      "Japanese",</t>
        </is>
      </c>
    </row>
    <row r="1282" ht="15" customHeight="1" s="38">
      <c r="A1282" s="84" t="inlineStr">
        <is>
          <t xml:space="preserve">      "English"</t>
        </is>
      </c>
    </row>
    <row r="1283" ht="15" customHeight="1" s="38">
      <c r="A1283" s="84" t="inlineStr">
        <is>
          <t xml:space="preserve">    ],</t>
        </is>
      </c>
    </row>
    <row r="1284" ht="15" customHeight="1" s="38">
      <c r="A1284" s="84" t="inlineStr">
        <is>
          <t xml:space="preserve">    "formatsOffered": [</t>
        </is>
      </c>
    </row>
    <row r="1285" ht="15" customHeight="1" s="38">
      <c r="A1285" s="84" t="inlineStr">
        <is>
          <t xml:space="preserve">      "Dedicated",</t>
        </is>
      </c>
    </row>
    <row r="1286" ht="15" customHeight="1" s="38">
      <c r="A1286" s="84" t="inlineStr">
        <is>
          <t xml:space="preserve">      "Integrated"</t>
        </is>
      </c>
    </row>
    <row r="1287" ht="15" customHeight="1" s="38">
      <c r="A1287" s="84" t="inlineStr">
        <is>
          <t xml:space="preserve">    ],</t>
        </is>
      </c>
    </row>
    <row r="1288" ht="15" customHeight="1" s="38">
      <c r="A1288" s="84" t="inlineStr">
        <is>
          <t xml:space="preserve">    "turnaroundDays": 21,</t>
        </is>
      </c>
    </row>
    <row r="1289" ht="15" customHeight="1" s="38">
      <c r="A1289" s="84" t="inlineStr">
        <is>
          <t xml:space="preserve">    "workedWith": [</t>
        </is>
      </c>
    </row>
    <row r="1290" ht="15" customHeight="1" s="38">
      <c r="A1290" s="84" t="inlineStr">
        <is>
          <t xml:space="preserve">      "Consumer Electronics",</t>
        </is>
      </c>
    </row>
    <row r="1291" ht="15" customHeight="1" s="38">
      <c r="A1291" s="84" t="inlineStr">
        <is>
          <t xml:space="preserve">      "Accessories"</t>
        </is>
      </c>
    </row>
    <row r="1292" ht="15" customHeight="1" s="38">
      <c r="A1292" s="84" t="inlineStr">
        <is>
          <t xml:space="preserve">    ],</t>
        </is>
      </c>
    </row>
    <row r="1293" ht="15" customHeight="1" s="38">
      <c r="A1293" s="84" t="inlineStr">
        <is>
          <t xml:space="preserve">    "recentVideos": [</t>
        </is>
      </c>
    </row>
    <row r="1294" ht="15" customHeight="1" s="38">
      <c r="A1294" s="84" t="inlineStr">
        <is>
          <t xml:space="preserve">      {</t>
        </is>
      </c>
    </row>
    <row r="1295" ht="15" customHeight="1" s="38">
      <c r="A1295" s="84" t="inlineStr">
        <is>
          <t xml:space="preserve">        "title": "Flagship Phone Teardown - What You're Paying For",</t>
        </is>
      </c>
    </row>
    <row r="1296" ht="15" customHeight="1" s="38">
      <c r="A1296" s="84" t="inlineStr">
        <is>
          <t xml:space="preserve">        "daysAgo": 4,</t>
        </is>
      </c>
    </row>
    <row r="1297" ht="15" customHeight="1" s="38">
      <c r="A1297" s="84" t="inlineStr">
        <is>
          <t xml:space="preserve">        "views": 181000,</t>
        </is>
      </c>
    </row>
    <row r="1298" ht="15" customHeight="1" s="38">
      <c r="A1298" s="84" t="inlineStr">
        <is>
          <t xml:space="preserve">        "likes": 8900,</t>
        </is>
      </c>
    </row>
    <row r="1299" ht="15" customHeight="1" s="38">
      <c r="A1299" s="84" t="inlineStr">
        <is>
          <t xml:space="preserve">        "comments": 1400,</t>
        </is>
      </c>
    </row>
    <row r="1300" ht="15" customHeight="1" s="38">
      <c r="A1300" s="84" t="inlineStr">
        <is>
          <t xml:space="preserve">        "hadSponsor": false,</t>
        </is>
      </c>
    </row>
    <row r="1301" ht="15" customHeight="1" s="38">
      <c r="A1301" s="84" t="inlineStr">
        <is>
          <t xml:space="preserve">        "topicTags": [</t>
        </is>
      </c>
    </row>
    <row r="1302" ht="15" customHeight="1" s="38">
      <c r="A1302" s="84" t="inlineStr">
        <is>
          <t xml:space="preserve">          "teardown",</t>
        </is>
      </c>
    </row>
    <row r="1303" ht="15" customHeight="1" s="38">
      <c r="A1303" s="84" t="inlineStr">
        <is>
          <t xml:space="preserve">          "phone",</t>
        </is>
      </c>
    </row>
    <row r="1304" ht="15" customHeight="1" s="38">
      <c r="A1304" s="84" t="inlineStr">
        <is>
          <t xml:space="preserve">          "analysis"</t>
        </is>
      </c>
    </row>
    <row r="1305" ht="15" customHeight="1" s="38">
      <c r="A1305" s="84" t="inlineStr">
        <is>
          <t xml:space="preserve">        ]</t>
        </is>
      </c>
    </row>
    <row r="1306" ht="15" customHeight="1" s="38">
      <c r="A1306" s="84" t="inlineStr">
        <is>
          <t xml:space="preserve">      },</t>
        </is>
      </c>
    </row>
    <row r="1307" ht="15" customHeight="1" s="38">
      <c r="A1307" s="84" t="inlineStr">
        <is>
          <t xml:space="preserve">      {</t>
        </is>
      </c>
    </row>
    <row r="1308" ht="15" customHeight="1" s="38">
      <c r="A1308" s="84" t="inlineStr">
        <is>
          <t xml:space="preserve">        "title": "I Used a Japan-Only Laptop for 30 Days",</t>
        </is>
      </c>
    </row>
    <row r="1309" ht="15" customHeight="1" s="38">
      <c r="A1309" s="84" t="inlineStr">
        <is>
          <t xml:space="preserve">        "daysAgo": 14,</t>
        </is>
      </c>
    </row>
    <row r="1310" ht="15" customHeight="1" s="38">
      <c r="A1310" s="84" t="inlineStr">
        <is>
          <t xml:space="preserve">        "views": 142000,</t>
        </is>
      </c>
    </row>
    <row r="1311" ht="15" customHeight="1" s="38">
      <c r="A1311" s="84" t="inlineStr">
        <is>
          <t xml:space="preserve">        "likes": 7000,</t>
        </is>
      </c>
    </row>
    <row r="1312" ht="15" customHeight="1" s="38">
      <c r="A1312" s="84" t="inlineStr">
        <is>
          <t xml:space="preserve">        "comments": 1100,</t>
        </is>
      </c>
    </row>
    <row r="1313" ht="15" customHeight="1" s="38">
      <c r="A1313" s="84" t="inlineStr">
        <is>
          <t xml:space="preserve">        "hadSponsor": true,</t>
        </is>
      </c>
    </row>
    <row r="1314" ht="15" customHeight="1" s="38">
      <c r="A1314" s="84" t="inlineStr">
        <is>
          <t xml:space="preserve">        "topicTags": [</t>
        </is>
      </c>
    </row>
    <row r="1315" ht="15" customHeight="1" s="38">
      <c r="A1315" s="84" t="inlineStr">
        <is>
          <t xml:space="preserve">          "laptop",</t>
        </is>
      </c>
    </row>
    <row r="1316" ht="15" customHeight="1" s="38">
      <c r="A1316" s="84" t="inlineStr">
        <is>
          <t xml:space="preserve">          "import",</t>
        </is>
      </c>
    </row>
    <row r="1317" ht="15" customHeight="1" s="38">
      <c r="A1317" s="84" t="inlineStr">
        <is>
          <t xml:space="preserve">          "long-term-test"</t>
        </is>
      </c>
    </row>
    <row r="1318" ht="15" customHeight="1" s="38">
      <c r="A1318" s="84" t="inlineStr">
        <is>
          <t xml:space="preserve">        ]</t>
        </is>
      </c>
    </row>
    <row r="1319" ht="15" customHeight="1" s="38">
      <c r="A1319" s="84" t="inlineStr">
        <is>
          <t xml:space="preserve">      },</t>
        </is>
      </c>
    </row>
    <row r="1320" ht="15" customHeight="1" s="38">
      <c r="A1320" s="84" t="inlineStr">
        <is>
          <t xml:space="preserve">      {</t>
        </is>
      </c>
    </row>
    <row r="1321" ht="15" customHeight="1" s="38">
      <c r="A1321" s="84" t="inlineStr">
        <is>
          <t xml:space="preserve">        "title": "Every Fast Charger Tested With a Meter",</t>
        </is>
      </c>
    </row>
    <row r="1322" ht="15" customHeight="1" s="38">
      <c r="A1322" s="84" t="inlineStr">
        <is>
          <t xml:space="preserve">        "daysAgo": 23,</t>
        </is>
      </c>
    </row>
    <row r="1323" ht="15" customHeight="1" s="38">
      <c r="A1323" s="84" t="inlineStr">
        <is>
          <t xml:space="preserve">        "views": 149000,</t>
        </is>
      </c>
    </row>
    <row r="1324" ht="15" customHeight="1" s="38">
      <c r="A1324" s="84" t="inlineStr">
        <is>
          <t xml:space="preserve">        "likes": 7300,</t>
        </is>
      </c>
    </row>
    <row r="1325" ht="15" customHeight="1" s="38">
      <c r="A1325" s="84" t="inlineStr">
        <is>
          <t xml:space="preserve">        "comments": 1180,</t>
        </is>
      </c>
    </row>
    <row r="1326" ht="15" customHeight="1" s="38">
      <c r="A1326" s="84" t="inlineStr">
        <is>
          <t xml:space="preserve">        "hadSponsor": false,</t>
        </is>
      </c>
    </row>
    <row r="1327" ht="15" customHeight="1" s="38">
      <c r="A1327" s="84" t="inlineStr">
        <is>
          <t xml:space="preserve">        "topicTags": [</t>
        </is>
      </c>
    </row>
    <row r="1328" ht="15" customHeight="1" s="38">
      <c r="A1328" s="84" t="inlineStr">
        <is>
          <t xml:space="preserve">          "accessories",</t>
        </is>
      </c>
    </row>
    <row r="1329" ht="15" customHeight="1" s="38">
      <c r="A1329" s="84" t="inlineStr">
        <is>
          <t xml:space="preserve">          "testing",</t>
        </is>
      </c>
    </row>
    <row r="1330" ht="15" customHeight="1" s="38">
      <c r="A1330" s="84" t="inlineStr">
        <is>
          <t xml:space="preserve">          "explainer"</t>
        </is>
      </c>
    </row>
    <row r="1331" ht="15" customHeight="1" s="38">
      <c r="A1331" s="84" t="inlineStr">
        <is>
          <t xml:space="preserve">        ]</t>
        </is>
      </c>
    </row>
    <row r="1332" ht="15" customHeight="1" s="38">
      <c r="A1332" s="84" t="inlineStr">
        <is>
          <t xml:space="preserve">      }</t>
        </is>
      </c>
    </row>
    <row r="1333" ht="15" customHeight="1" s="38">
      <c r="A1333" s="84" t="inlineStr">
        <is>
          <t xml:space="preserve">    ]</t>
        </is>
      </c>
    </row>
    <row r="1334" ht="15" customHeight="1" s="38">
      <c r="A1334" s="84" t="inlineStr">
        <is>
          <t xml:space="preserve">  },</t>
        </is>
      </c>
    </row>
    <row r="1335" ht="15" customHeight="1" s="38">
      <c r="A1335" s="84" t="inlineStr">
        <is>
          <t xml:space="preserve">  {</t>
        </is>
      </c>
    </row>
    <row r="1336" ht="15" customHeight="1" s="38">
      <c r="A1336" s="84" t="inlineStr">
        <is>
          <t xml:space="preserve">    "id": "isabel-cruz",</t>
        </is>
      </c>
    </row>
    <row r="1337" ht="15" customHeight="1" s="38">
      <c r="A1337" s="84" t="inlineStr">
        <is>
          <t xml:space="preserve">    "name": "Isabel Cruz",</t>
        </is>
      </c>
    </row>
    <row r="1338" ht="15" customHeight="1" s="38">
      <c r="A1338" s="84" t="inlineStr">
        <is>
          <t xml:space="preserve">    "handle": "@isabelhomecafe",</t>
        </is>
      </c>
    </row>
    <row r="1339" ht="15" customHeight="1" s="38">
      <c r="A1339" s="84" t="inlineStr">
        <is>
          <t xml:space="preserve">    "category": "Food &amp; Beverage",</t>
        </is>
      </c>
    </row>
    <row r="1340" ht="15" customHeight="1" s="38">
      <c r="A1340" s="84" t="inlineStr">
        <is>
          <t xml:space="preserve">    "tier": "Mid-tier",</t>
        </is>
      </c>
    </row>
    <row r="1341" ht="15" customHeight="1" s="38">
      <c r="A1341" s="84" t="inlineStr">
        <is>
          <t xml:space="preserve">    "subscribers": 141000,</t>
        </is>
      </c>
    </row>
    <row r="1342" ht="15" customHeight="1" s="38">
      <c r="A1342" s="84" t="inlineStr">
        <is>
          <t xml:space="preserve">    "avgViews": 76000,</t>
        </is>
      </c>
    </row>
    <row r="1343" ht="15" customHeight="1" s="38">
      <c r="A1343" s="84" t="inlineStr">
        <is>
          <t xml:space="preserve">    "engagementRate": 0.084,</t>
        </is>
      </c>
    </row>
    <row r="1344" ht="15" customHeight="1" s="38">
      <c r="A1344" s="84" t="inlineStr">
        <is>
          <t xml:space="preserve">    "channelVerified": true,</t>
        </is>
      </c>
    </row>
    <row r="1345" ht="15" customHeight="1" s="38">
      <c r="A1345" s="84" t="inlineStr">
        <is>
          <t xml:space="preserve">    "safetyScore": 94,</t>
        </is>
      </c>
    </row>
    <row r="1346" ht="15" customHeight="1" s="38">
      <c r="A1346" s="84" t="inlineStr">
        <is>
          <t xml:space="preserve">    "audienceAge": "18-34",</t>
        </is>
      </c>
    </row>
    <row r="1347" ht="15" customHeight="1" s="38">
      <c r="A1347" s="84" t="inlineStr">
        <is>
          <t xml:space="preserve">    "audienceGender": "79% F",</t>
        </is>
      </c>
    </row>
    <row r="1348" ht="15" customHeight="1" s="38">
      <c r="A1348" s="84" t="inlineStr">
        <is>
          <t xml:space="preserve">    "topCountry": "US",</t>
        </is>
      </c>
    </row>
    <row r="1349" ht="15" customHeight="1" s="38">
      <c r="A1349" s="84" t="inlineStr">
        <is>
          <t xml:space="preserve">    "uploadCadence": "2 / week",</t>
        </is>
      </c>
    </row>
    <row r="1350" ht="15" customHeight="1" s="38">
      <c r="A1350" s="84" t="inlineStr">
        <is>
          <t xml:space="preserve">    "avgLengthMin": 10,</t>
        </is>
      </c>
    </row>
    <row r="1351" ht="15" customHeight="1" s="38">
      <c r="A1351" s="84" t="inlineStr">
        <is>
          <t xml:space="preserve">    "rates": {</t>
        </is>
      </c>
    </row>
    <row r="1352" ht="15" customHeight="1" s="38">
      <c r="A1352" s="84" t="inlineStr">
        <is>
          <t xml:space="preserve">      "integrated": 1900,</t>
        </is>
      </c>
    </row>
    <row r="1353" ht="15" customHeight="1" s="38">
      <c r="A1353" s="84" t="inlineStr">
        <is>
          <t xml:space="preserve">      "dedicated": 4300,</t>
        </is>
      </c>
    </row>
    <row r="1354" ht="15" customHeight="1" s="38">
      <c r="A1354" s="84" t="inlineStr">
        <is>
          <t xml:space="preserve">      "short": 980</t>
        </is>
      </c>
    </row>
    <row r="1355" ht="15" customHeight="1" s="38">
      <c r="A1355" s="84" t="inlineStr">
        <is>
          <t xml:space="preserve">    },</t>
        </is>
      </c>
    </row>
    <row r="1356" ht="15" customHeight="1" s="38">
      <c r="A1356" s="84" t="inlineStr">
        <is>
          <t xml:space="preserve">    "avatarInitials": "IC",</t>
        </is>
      </c>
    </row>
    <row r="1357" ht="15" customHeight="1" s="38">
      <c r="A1357" s="84" t="inlineStr">
        <is>
          <t xml:space="preserve">    "avatarColor": "#A0522D",</t>
        </is>
      </c>
    </row>
    <row r="1358" ht="15" customHeight="1" s="38">
      <c r="A1358" s="84" t="inlineStr">
        <is>
          <t xml:space="preserve">    "bio": "Cafe drinks rebuilt for a home kitchen, tested on equipment people can afford.",</t>
        </is>
      </c>
    </row>
    <row r="1359" ht="15" customHeight="1" s="38">
      <c r="A1359" s="84" t="inlineStr">
        <is>
          <t xml:space="preserve">    "languages": [</t>
        </is>
      </c>
    </row>
    <row r="1360" ht="15" customHeight="1" s="38">
      <c r="A1360" s="84" t="inlineStr">
        <is>
          <t xml:space="preserve">      "English",</t>
        </is>
      </c>
    </row>
    <row r="1361" ht="15" customHeight="1" s="38">
      <c r="A1361" s="84" t="inlineStr">
        <is>
          <t xml:space="preserve">      "Spanish"</t>
        </is>
      </c>
    </row>
    <row r="1362" ht="15" customHeight="1" s="38">
      <c r="A1362" s="84" t="inlineStr">
        <is>
          <t xml:space="preserve">    ],</t>
        </is>
      </c>
    </row>
    <row r="1363" ht="15" customHeight="1" s="38">
      <c r="A1363" s="84" t="inlineStr">
        <is>
          <t xml:space="preserve">    "formatsOffered": [</t>
        </is>
      </c>
    </row>
    <row r="1364" ht="15" customHeight="1" s="38">
      <c r="A1364" s="84" t="inlineStr">
        <is>
          <t xml:space="preserve">      "Integrated",</t>
        </is>
      </c>
    </row>
    <row r="1365" ht="15" customHeight="1" s="38">
      <c r="A1365" s="84" t="inlineStr">
        <is>
          <t xml:space="preserve">      "Dedicated",</t>
        </is>
      </c>
    </row>
    <row r="1366" ht="15" customHeight="1" s="38">
      <c r="A1366" s="84" t="inlineStr">
        <is>
          <t xml:space="preserve">      "Short"</t>
        </is>
      </c>
    </row>
    <row r="1367" ht="15" customHeight="1" s="38">
      <c r="A1367" s="84" t="inlineStr">
        <is>
          <t xml:space="preserve">    ],</t>
        </is>
      </c>
    </row>
    <row r="1368" ht="15" customHeight="1" s="38">
      <c r="A1368" s="84" t="inlineStr">
        <is>
          <t xml:space="preserve">    "turnaroundDays": 10,</t>
        </is>
      </c>
    </row>
    <row r="1369" ht="15" customHeight="1" s="38">
      <c r="A1369" s="84" t="inlineStr">
        <is>
          <t xml:space="preserve">    "workedWith": [</t>
        </is>
      </c>
    </row>
    <row r="1370" ht="15" customHeight="1" s="38">
      <c r="A1370" s="84" t="inlineStr">
        <is>
          <t xml:space="preserve">      "Coffee",</t>
        </is>
      </c>
    </row>
    <row r="1371" ht="15" customHeight="1" s="38">
      <c r="A1371" s="84" t="inlineStr">
        <is>
          <t xml:space="preserve">      "Small Appliances",</t>
        </is>
      </c>
    </row>
    <row r="1372" ht="15" customHeight="1" s="38">
      <c r="A1372" s="84" t="inlineStr">
        <is>
          <t xml:space="preserve">      "Grocery"</t>
        </is>
      </c>
    </row>
    <row r="1373" ht="15" customHeight="1" s="38">
      <c r="A1373" s="84" t="inlineStr">
        <is>
          <t xml:space="preserve">    ],</t>
        </is>
      </c>
    </row>
    <row r="1374" ht="15" customHeight="1" s="38">
      <c r="A1374" s="84" t="inlineStr">
        <is>
          <t xml:space="preserve">    "recentVideos": [</t>
        </is>
      </c>
    </row>
    <row r="1375" ht="15" customHeight="1" s="38">
      <c r="A1375" s="84" t="inlineStr">
        <is>
          <t xml:space="preserve">      {</t>
        </is>
      </c>
    </row>
    <row r="1376" ht="15" customHeight="1" s="38">
      <c r="A1376" s="84" t="inlineStr">
        <is>
          <t xml:space="preserve">        "title": "Cafe Drinks You Can Actually Make at Home",</t>
        </is>
      </c>
    </row>
    <row r="1377" ht="15" customHeight="1" s="38">
      <c r="A1377" s="84" t="inlineStr">
        <is>
          <t xml:space="preserve">        "daysAgo": 5,</t>
        </is>
      </c>
    </row>
    <row r="1378" ht="15" customHeight="1" s="38">
      <c r="A1378" s="84" t="inlineStr">
        <is>
          <t xml:space="preserve">        "views": 89000,</t>
        </is>
      </c>
    </row>
    <row r="1379" ht="15" customHeight="1" s="38">
      <c r="A1379" s="84" t="inlineStr">
        <is>
          <t xml:space="preserve">        "likes": 7500,</t>
        </is>
      </c>
    </row>
    <row r="1380" ht="15" customHeight="1" s="38">
      <c r="A1380" s="84" t="inlineStr">
        <is>
          <t xml:space="preserve">        "comments": 1050,</t>
        </is>
      </c>
    </row>
    <row r="1381" ht="15" customHeight="1" s="38">
      <c r="A1381" s="84" t="inlineStr">
        <is>
          <t xml:space="preserve">        "hadSponsor": false,</t>
        </is>
      </c>
    </row>
    <row r="1382" ht="15" customHeight="1" s="38">
      <c r="A1382" s="84" t="inlineStr">
        <is>
          <t xml:space="preserve">        "topicTags": [</t>
        </is>
      </c>
    </row>
    <row r="1383" ht="15" customHeight="1" s="38">
      <c r="A1383" s="84" t="inlineStr">
        <is>
          <t xml:space="preserve">          "coffee",</t>
        </is>
      </c>
    </row>
    <row r="1384" ht="15" customHeight="1" s="38">
      <c r="A1384" s="84" t="inlineStr">
        <is>
          <t xml:space="preserve">          "recipe",</t>
        </is>
      </c>
    </row>
    <row r="1385" ht="15" customHeight="1" s="38">
      <c r="A1385" s="84" t="inlineStr">
        <is>
          <t xml:space="preserve">          "home-cafe"</t>
        </is>
      </c>
    </row>
    <row r="1386" ht="15" customHeight="1" s="38">
      <c r="A1386" s="84" t="inlineStr">
        <is>
          <t xml:space="preserve">        ]</t>
        </is>
      </c>
    </row>
    <row r="1387" ht="15" customHeight="1" s="38">
      <c r="A1387" s="84" t="inlineStr">
        <is>
          <t xml:space="preserve">      },</t>
        </is>
      </c>
    </row>
    <row r="1388" ht="15" customHeight="1" s="38">
      <c r="A1388" s="84" t="inlineStr">
        <is>
          <t xml:space="preserve">      {</t>
        </is>
      </c>
    </row>
    <row r="1389" ht="15" customHeight="1" s="38">
      <c r="A1389" s="84" t="inlineStr">
        <is>
          <t xml:space="preserve">        "title": "I Tested 5 Home Espresso Machines Under $500",</t>
        </is>
      </c>
    </row>
    <row r="1390" ht="15" customHeight="1" s="38">
      <c r="A1390" s="84" t="inlineStr">
        <is>
          <t xml:space="preserve">        "daysAgo": 14,</t>
        </is>
      </c>
    </row>
    <row r="1391" ht="15" customHeight="1" s="38">
      <c r="A1391" s="84" t="inlineStr">
        <is>
          <t xml:space="preserve">        "views": 71000,</t>
        </is>
      </c>
    </row>
    <row r="1392" ht="15" customHeight="1" s="38">
      <c r="A1392" s="84" t="inlineStr">
        <is>
          <t xml:space="preserve">        "likes": 6000,</t>
        </is>
      </c>
    </row>
    <row r="1393" ht="15" customHeight="1" s="38">
      <c r="A1393" s="84" t="inlineStr">
        <is>
          <t xml:space="preserve">        "comments": 880,</t>
        </is>
      </c>
    </row>
    <row r="1394" ht="15" customHeight="1" s="38">
      <c r="A1394" s="84" t="inlineStr">
        <is>
          <t xml:space="preserve">        "hadSponsor": true,</t>
        </is>
      </c>
    </row>
    <row r="1395" ht="15" customHeight="1" s="38">
      <c r="A1395" s="84" t="inlineStr">
        <is>
          <t xml:space="preserve">        "topicTags": [</t>
        </is>
      </c>
    </row>
    <row r="1396" ht="15" customHeight="1" s="38">
      <c r="A1396" s="84" t="inlineStr">
        <is>
          <t xml:space="preserve">          "gear",</t>
        </is>
      </c>
    </row>
    <row r="1397" ht="15" customHeight="1" s="38">
      <c r="A1397" s="84" t="inlineStr">
        <is>
          <t xml:space="preserve">          "comparison",</t>
        </is>
      </c>
    </row>
    <row r="1398" ht="15" customHeight="1" s="38">
      <c r="A1398" s="84" t="inlineStr">
        <is>
          <t xml:space="preserve">          "espresso"</t>
        </is>
      </c>
    </row>
    <row r="1399" ht="15" customHeight="1" s="38">
      <c r="A1399" s="84" t="inlineStr">
        <is>
          <t xml:space="preserve">        ]</t>
        </is>
      </c>
    </row>
    <row r="1400" ht="15" customHeight="1" s="38">
      <c r="A1400" s="84" t="inlineStr">
        <is>
          <t xml:space="preserve">      },</t>
        </is>
      </c>
    </row>
    <row r="1401" ht="15" customHeight="1" s="38">
      <c r="A1401" s="84" t="inlineStr">
        <is>
          <t xml:space="preserve">      {</t>
        </is>
      </c>
    </row>
    <row r="1402" ht="15" customHeight="1" s="38">
      <c r="A1402" s="84" t="inlineStr">
        <is>
          <t xml:space="preserve">        "title": "Why Your Latte Art Collapses",</t>
        </is>
      </c>
    </row>
    <row r="1403" ht="15" customHeight="1" s="38">
      <c r="A1403" s="84" t="inlineStr">
        <is>
          <t xml:space="preserve">        "daysAgo": 24,</t>
        </is>
      </c>
    </row>
    <row r="1404" ht="15" customHeight="1" s="38">
      <c r="A1404" s="84" t="inlineStr">
        <is>
          <t xml:space="preserve">        "views": 68000,</t>
        </is>
      </c>
    </row>
    <row r="1405" ht="15" customHeight="1" s="38">
      <c r="A1405" s="84" t="inlineStr">
        <is>
          <t xml:space="preserve">        "likes": 5700,</t>
        </is>
      </c>
    </row>
    <row r="1406" ht="15" customHeight="1" s="38">
      <c r="A1406" s="84" t="inlineStr">
        <is>
          <t xml:space="preserve">        "comments": 830,</t>
        </is>
      </c>
    </row>
    <row r="1407" ht="15" customHeight="1" s="38">
      <c r="A1407" s="84" t="inlineStr">
        <is>
          <t xml:space="preserve">        "hadSponsor": false,</t>
        </is>
      </c>
    </row>
    <row r="1408" ht="15" customHeight="1" s="38">
      <c r="A1408" s="84" t="inlineStr">
        <is>
          <t xml:space="preserve">        "topicTags": [</t>
        </is>
      </c>
    </row>
    <row r="1409" ht="15" customHeight="1" s="38">
      <c r="A1409" s="84" t="inlineStr">
        <is>
          <t xml:space="preserve">          "technique",</t>
        </is>
      </c>
    </row>
    <row r="1410" ht="15" customHeight="1" s="38">
      <c r="A1410" s="84" t="inlineStr">
        <is>
          <t xml:space="preserve">          "troubleshooting",</t>
        </is>
      </c>
    </row>
    <row r="1411" ht="15" customHeight="1" s="38">
      <c r="A1411" s="84" t="inlineStr">
        <is>
          <t xml:space="preserve">          "milk"</t>
        </is>
      </c>
    </row>
    <row r="1412" ht="15" customHeight="1" s="38">
      <c r="A1412" s="84" t="inlineStr">
        <is>
          <t xml:space="preserve">        ]</t>
        </is>
      </c>
    </row>
    <row r="1413" ht="15" customHeight="1" s="38">
      <c r="A1413" s="84" t="inlineStr">
        <is>
          <t xml:space="preserve">      }</t>
        </is>
      </c>
    </row>
    <row r="1414" ht="15" customHeight="1" s="38">
      <c r="A1414" s="84" t="inlineStr">
        <is>
          <t xml:space="preserve">    ]</t>
        </is>
      </c>
    </row>
    <row r="1415" ht="15" customHeight="1" s="38">
      <c r="A1415" s="84" t="inlineStr">
        <is>
          <t xml:space="preserve">  },</t>
        </is>
      </c>
    </row>
    <row r="1416" ht="15" customHeight="1" s="38">
      <c r="A1416" s="84" t="inlineStr">
        <is>
          <t xml:space="preserve">  {</t>
        </is>
      </c>
    </row>
    <row r="1417">
      <c r="A1417" s="84" t="inlineStr">
        <is>
          <t xml:space="preserve">    "id": "cara-nolan",</t>
        </is>
      </c>
    </row>
    <row r="1418">
      <c r="A1418" s="84" t="inlineStr">
        <is>
          <t xml:space="preserve">    "name": "Cara Nolan",</t>
        </is>
      </c>
    </row>
    <row r="1419">
      <c r="A1419" s="84" t="inlineStr">
        <is>
          <t xml:space="preserve">    "handle": "@caranolaneats",</t>
        </is>
      </c>
    </row>
    <row r="1420">
      <c r="A1420" s="84" t="inlineStr">
        <is>
          <t xml:space="preserve">    "category": "Food &amp; Beverage",</t>
        </is>
      </c>
    </row>
    <row r="1421">
      <c r="A1421" s="84" t="inlineStr">
        <is>
          <t xml:space="preserve">    "tier": "Micro",</t>
        </is>
      </c>
    </row>
    <row r="1422">
      <c r="A1422" s="84" t="inlineStr">
        <is>
          <t xml:space="preserve">    "subscribers": 61000,</t>
        </is>
      </c>
    </row>
    <row r="1423">
      <c r="A1423" s="84" t="inlineStr">
        <is>
          <t xml:space="preserve">    "avgViews": 32000,</t>
        </is>
      </c>
    </row>
    <row r="1424">
      <c r="A1424" s="84" t="inlineStr">
        <is>
          <t xml:space="preserve">    "engagementRate": 0.069,</t>
        </is>
      </c>
    </row>
    <row r="1425">
      <c r="A1425" s="84" t="inlineStr">
        <is>
          <t xml:space="preserve">    "channelVerified": true,</t>
        </is>
      </c>
    </row>
    <row r="1426">
      <c r="A1426" s="84" t="inlineStr">
        <is>
          <t xml:space="preserve">    "safetyScore": 94,</t>
        </is>
      </c>
    </row>
    <row r="1427">
      <c r="A1427" s="84" t="inlineStr">
        <is>
          <t xml:space="preserve">    "audienceAge": "25-34",</t>
        </is>
      </c>
    </row>
    <row r="1428">
      <c r="A1428" s="84" t="inlineStr">
        <is>
          <t xml:space="preserve">    "audienceGender": "64% F",</t>
        </is>
      </c>
    </row>
    <row r="1429">
      <c r="A1429" s="84" t="inlineStr">
        <is>
          <t xml:space="preserve">    "topCountry": "US",</t>
        </is>
      </c>
    </row>
    <row r="1430">
      <c r="A1430" s="84" t="inlineStr">
        <is>
          <t xml:space="preserve">    "uploadCadence": "2 / week",</t>
        </is>
      </c>
    </row>
    <row r="1431">
      <c r="A1431" s="84" t="inlineStr">
        <is>
          <t xml:space="preserve">    "avgLengthMin": 11,</t>
        </is>
      </c>
    </row>
    <row r="1432">
      <c r="A1432" s="84" t="inlineStr">
        <is>
          <t xml:space="preserve">    "rates": {</t>
        </is>
      </c>
    </row>
    <row r="1433">
      <c r="A1433" s="84" t="inlineStr">
        <is>
          <t xml:space="preserve">      "integrated": 1180,</t>
        </is>
      </c>
    </row>
    <row r="1434">
      <c r="A1434" s="84" t="inlineStr">
        <is>
          <t xml:space="preserve">      "dedicated": 2500,</t>
        </is>
      </c>
    </row>
    <row r="1435">
      <c r="A1435" s="84" t="inlineStr">
        <is>
          <t xml:space="preserve">      "short": 600</t>
        </is>
      </c>
    </row>
    <row r="1436">
      <c r="A1436" s="84" t="inlineStr">
        <is>
          <t xml:space="preserve">    },</t>
        </is>
      </c>
    </row>
    <row r="1437">
      <c r="A1437" s="84" t="inlineStr">
        <is>
          <t xml:space="preserve">    "avatarInitials": "CN",</t>
        </is>
      </c>
    </row>
    <row r="1438">
      <c r="A1438" s="84" t="inlineStr">
        <is>
          <t xml:space="preserve">    "avatarColor": "#B03A2E",</t>
        </is>
      </c>
    </row>
    <row r="1439">
      <c r="A1439" s="84" t="inlineStr">
        <is>
          <t xml:space="preserve">    "bio": "Farmers-market hauls turned into a week of no-waste dinners.",</t>
        </is>
      </c>
    </row>
    <row r="1440">
      <c r="A1440" s="84" t="inlineStr">
        <is>
          <t xml:space="preserve">    "languages": [</t>
        </is>
      </c>
    </row>
    <row r="1441">
      <c r="A1441" s="84" t="inlineStr">
        <is>
          <t xml:space="preserve">      "English"</t>
        </is>
      </c>
    </row>
    <row r="1442">
      <c r="A1442" s="84" t="inlineStr">
        <is>
          <t xml:space="preserve">    ],</t>
        </is>
      </c>
    </row>
    <row r="1443">
      <c r="A1443" s="84" t="inlineStr">
        <is>
          <t xml:space="preserve">    "formatsOffered": [</t>
        </is>
      </c>
    </row>
    <row r="1444">
      <c r="A1444" s="84" t="inlineStr">
        <is>
          <t xml:space="preserve">      "Integrated",</t>
        </is>
      </c>
    </row>
    <row r="1445">
      <c r="A1445" s="84" t="inlineStr">
        <is>
          <t xml:space="preserve">      "Dedicated",</t>
        </is>
      </c>
    </row>
    <row r="1446">
      <c r="A1446" s="84" t="inlineStr">
        <is>
          <t xml:space="preserve">      "Short"</t>
        </is>
      </c>
    </row>
    <row r="1447">
      <c r="A1447" s="84" t="inlineStr">
        <is>
          <t xml:space="preserve">    ],</t>
        </is>
      </c>
    </row>
    <row r="1448">
      <c r="A1448" s="84" t="inlineStr">
        <is>
          <t xml:space="preserve">    "turnaroundDays": 10,</t>
        </is>
      </c>
    </row>
    <row r="1449">
      <c r="A1449" s="84" t="inlineStr">
        <is>
          <t xml:space="preserve">    "workedWith": [</t>
        </is>
      </c>
    </row>
    <row r="1450">
      <c r="A1450" s="84" t="inlineStr">
        <is>
          <t xml:space="preserve">      "Food &amp; Beverage",</t>
        </is>
      </c>
    </row>
    <row r="1451">
      <c r="A1451" s="84" t="inlineStr">
        <is>
          <t xml:space="preserve">      "Grocery"</t>
        </is>
      </c>
    </row>
    <row r="1452">
      <c r="A1452" s="84" t="inlineStr">
        <is>
          <t xml:space="preserve">    ],</t>
        </is>
      </c>
    </row>
    <row r="1453">
      <c r="A1453" s="84" t="inlineStr">
        <is>
          <t xml:space="preserve">    "recentVideos": [</t>
        </is>
      </c>
    </row>
    <row r="1454">
      <c r="A1454" s="84" t="inlineStr">
        <is>
          <t xml:space="preserve">      {</t>
        </is>
      </c>
    </row>
    <row r="1455">
      <c r="A1455" s="84" t="inlineStr">
        <is>
          <t xml:space="preserve">        "title": "I Ranked 6 Supermarket Olive Oils",</t>
        </is>
      </c>
    </row>
    <row r="1456">
      <c r="A1456" s="84" t="inlineStr">
        <is>
          <t xml:space="preserve">        "daysAgo": 8,</t>
        </is>
      </c>
    </row>
    <row r="1457">
      <c r="A1457" s="84" t="inlineStr">
        <is>
          <t xml:space="preserve">        "views": 40000,</t>
        </is>
      </c>
    </row>
    <row r="1458">
      <c r="A1458" s="84" t="inlineStr">
        <is>
          <t xml:space="preserve">        "likes": 2620,</t>
        </is>
      </c>
    </row>
    <row r="1459">
      <c r="A1459" s="84" t="inlineStr">
        <is>
          <t xml:space="preserve">        "comments": 290,</t>
        </is>
      </c>
    </row>
    <row r="1460">
      <c r="A1460" s="84" t="inlineStr">
        <is>
          <t xml:space="preserve">        "hadSponsor": true,</t>
        </is>
      </c>
    </row>
    <row r="1461">
      <c r="A1461" s="84" t="inlineStr">
        <is>
          <t xml:space="preserve">        "topicTags": [</t>
        </is>
      </c>
    </row>
    <row r="1462">
      <c r="A1462" s="84" t="inlineStr">
        <is>
          <t xml:space="preserve">          "comparison",</t>
        </is>
      </c>
    </row>
    <row r="1463">
      <c r="A1463" s="84" t="inlineStr">
        <is>
          <t xml:space="preserve">          "grocery",</t>
        </is>
      </c>
    </row>
    <row r="1464">
      <c r="A1464" s="84" t="inlineStr">
        <is>
          <t xml:space="preserve">          "taste-test"</t>
        </is>
      </c>
    </row>
    <row r="1465">
      <c r="A1465" s="84" t="inlineStr">
        <is>
          <t xml:space="preserve">        ]</t>
        </is>
      </c>
    </row>
    <row r="1466">
      <c r="A1466" s="84" t="inlineStr">
        <is>
          <t xml:space="preserve">      },</t>
        </is>
      </c>
    </row>
    <row r="1467">
      <c r="A1467" s="84" t="inlineStr">
        <is>
          <t xml:space="preserve">      {</t>
        </is>
      </c>
    </row>
    <row r="1468">
      <c r="A1468" s="84" t="inlineStr">
        <is>
          <t xml:space="preserve">        "title": "The $12 Dinner I Make Every Week",</t>
        </is>
      </c>
    </row>
    <row r="1469">
      <c r="A1469" s="84" t="inlineStr">
        <is>
          <t xml:space="preserve">        "daysAgo": 17,</t>
        </is>
      </c>
    </row>
    <row r="1470">
      <c r="A1470" s="84" t="inlineStr">
        <is>
          <t xml:space="preserve">        "views": 29000,</t>
        </is>
      </c>
    </row>
    <row r="1471">
      <c r="A1471" s="84" t="inlineStr">
        <is>
          <t xml:space="preserve">        "likes": 1790,</t>
        </is>
      </c>
    </row>
    <row r="1472">
      <c r="A1472" s="84" t="inlineStr">
        <is>
          <t xml:space="preserve">        "comments": 200,</t>
        </is>
      </c>
    </row>
    <row r="1473">
      <c r="A1473" s="84" t="inlineStr">
        <is>
          <t xml:space="preserve">        "hadSponsor": false,</t>
        </is>
      </c>
    </row>
    <row r="1474">
      <c r="A1474" s="84" t="inlineStr">
        <is>
          <t xml:space="preserve">        "topicTags": [</t>
        </is>
      </c>
    </row>
    <row r="1475">
      <c r="A1475" s="84" t="inlineStr">
        <is>
          <t xml:space="preserve">          "budget",</t>
        </is>
      </c>
    </row>
    <row r="1476">
      <c r="A1476" s="84" t="inlineStr">
        <is>
          <t xml:space="preserve">          "weeknight",</t>
        </is>
      </c>
    </row>
    <row r="1477">
      <c r="A1477" s="84" t="inlineStr">
        <is>
          <t xml:space="preserve">          "recipe"</t>
        </is>
      </c>
    </row>
    <row r="1478">
      <c r="A1478" s="84" t="inlineStr">
        <is>
          <t xml:space="preserve">        ]</t>
        </is>
      </c>
    </row>
    <row r="1479">
      <c r="A1479" s="84" t="inlineStr">
        <is>
          <t xml:space="preserve">      },</t>
        </is>
      </c>
    </row>
    <row r="1480">
      <c r="A1480" s="84" t="inlineStr">
        <is>
          <t xml:space="preserve">      {</t>
        </is>
      </c>
    </row>
    <row r="1481">
      <c r="A1481" s="84" t="inlineStr">
        <is>
          <t xml:space="preserve">        "title": "Why Your Olive Oils Tastes Bland (3 Fixes)",</t>
        </is>
      </c>
    </row>
    <row r="1482">
      <c r="A1482" s="84" t="inlineStr">
        <is>
          <t xml:space="preserve">        "daysAgo": 24,</t>
        </is>
      </c>
    </row>
    <row r="1483">
      <c r="A1483" s="84" t="inlineStr">
        <is>
          <t xml:space="preserve">        "views": 34000,</t>
        </is>
      </c>
    </row>
    <row r="1484">
      <c r="A1484" s="84" t="inlineStr">
        <is>
          <t xml:space="preserve">        "likes": 2030,</t>
        </is>
      </c>
    </row>
    <row r="1485">
      <c r="A1485" s="84" t="inlineStr">
        <is>
          <t xml:space="preserve">        "comments": 225,</t>
        </is>
      </c>
    </row>
    <row r="1486">
      <c r="A1486" s="84" t="inlineStr">
        <is>
          <t xml:space="preserve">        "hadSponsor": true,</t>
        </is>
      </c>
    </row>
    <row r="1487">
      <c r="A1487" s="84" t="inlineStr">
        <is>
          <t xml:space="preserve">        "topicTags": [</t>
        </is>
      </c>
    </row>
    <row r="1488">
      <c r="A1488" s="84" t="inlineStr">
        <is>
          <t xml:space="preserve">          "technique",</t>
        </is>
      </c>
    </row>
    <row r="1489">
      <c r="A1489" s="84" t="inlineStr">
        <is>
          <t xml:space="preserve">          "troubleshooting",</t>
        </is>
      </c>
    </row>
    <row r="1490">
      <c r="A1490" s="84" t="inlineStr">
        <is>
          <t xml:space="preserve">          "kitchen"</t>
        </is>
      </c>
    </row>
    <row r="1491">
      <c r="A1491" s="84" t="inlineStr">
        <is>
          <t xml:space="preserve">        ]</t>
        </is>
      </c>
    </row>
    <row r="1492">
      <c r="A1492" s="84" t="inlineStr">
        <is>
          <t xml:space="preserve">      }</t>
        </is>
      </c>
    </row>
    <row r="1493">
      <c r="A1493" s="84" t="inlineStr">
        <is>
          <t xml:space="preserve">    ]</t>
        </is>
      </c>
    </row>
    <row r="1494">
      <c r="A1494" s="84" t="inlineStr">
        <is>
          <t xml:space="preserve">  },</t>
        </is>
      </c>
    </row>
    <row r="1495">
      <c r="A1495" s="84" t="inlineStr">
        <is>
          <t xml:space="preserve">  {</t>
        </is>
      </c>
    </row>
    <row r="1496">
      <c r="A1496" s="84" t="inlineStr">
        <is>
          <t xml:space="preserve">    "id": "theo-mensah",</t>
        </is>
      </c>
    </row>
    <row r="1497">
      <c r="A1497" s="84" t="inlineStr">
        <is>
          <t xml:space="preserve">    "name": "Theo Mensah",</t>
        </is>
      </c>
    </row>
    <row r="1498">
      <c r="A1498" s="84" t="inlineStr">
        <is>
          <t xml:space="preserve">    "handle": "@theostreetfood",</t>
        </is>
      </c>
    </row>
    <row r="1499">
      <c r="A1499" s="84" t="inlineStr">
        <is>
          <t xml:space="preserve">    "category": "Food &amp; Beverage",</t>
        </is>
      </c>
    </row>
    <row r="1500">
      <c r="A1500" s="84" t="inlineStr">
        <is>
          <t xml:space="preserve">    "tier": "Nano",</t>
        </is>
      </c>
    </row>
    <row r="1501">
      <c r="A1501" s="84" t="inlineStr">
        <is>
          <t xml:space="preserve">    "subscribers": 8600,</t>
        </is>
      </c>
    </row>
    <row r="1502">
      <c r="A1502" s="84" t="inlineStr">
        <is>
          <t xml:space="preserve">    "avgViews": 5000,</t>
        </is>
      </c>
    </row>
    <row r="1503">
      <c r="A1503" s="84" t="inlineStr">
        <is>
          <t xml:space="preserve">    "engagementRate": 0.108,</t>
        </is>
      </c>
    </row>
    <row r="1504">
      <c r="A1504" s="84" t="inlineStr">
        <is>
          <t xml:space="preserve">    "channelVerified": false,</t>
        </is>
      </c>
    </row>
    <row r="1505">
      <c r="A1505" s="84" t="inlineStr">
        <is>
          <t xml:space="preserve">    "safetyScore": 93,</t>
        </is>
      </c>
    </row>
    <row r="1506">
      <c r="A1506" s="84" t="inlineStr">
        <is>
          <t xml:space="preserve">    "audienceAge": "18-34",</t>
        </is>
      </c>
    </row>
    <row r="1507">
      <c r="A1507" s="84" t="inlineStr">
        <is>
          <t xml:space="preserve">    "audienceGender": "57% M",</t>
        </is>
      </c>
    </row>
    <row r="1508">
      <c r="A1508" s="84" t="inlineStr">
        <is>
          <t xml:space="preserve">    "topCountry": "UK",</t>
        </is>
      </c>
    </row>
    <row r="1509">
      <c r="A1509" s="84" t="inlineStr">
        <is>
          <t xml:space="preserve">    "uploadCadence": "1 / week",</t>
        </is>
      </c>
    </row>
    <row r="1510">
      <c r="A1510" s="84" t="inlineStr">
        <is>
          <t xml:space="preserve">    "avgLengthMin": 14,</t>
        </is>
      </c>
    </row>
    <row r="1511">
      <c r="A1511" s="84" t="inlineStr">
        <is>
          <t xml:space="preserve">    "rates": {</t>
        </is>
      </c>
    </row>
    <row r="1512">
      <c r="A1512" s="84" t="inlineStr">
        <is>
          <t xml:space="preserve">      "integrated": 240,</t>
        </is>
      </c>
    </row>
    <row r="1513">
      <c r="A1513" s="84" t="inlineStr">
        <is>
          <t xml:space="preserve">      "dedicated": 500,</t>
        </is>
      </c>
    </row>
    <row r="1514">
      <c r="A1514" s="84" t="inlineStr">
        <is>
          <t xml:space="preserve">      "short": 120</t>
        </is>
      </c>
    </row>
    <row r="1515">
      <c r="A1515" s="84" t="inlineStr">
        <is>
          <t xml:space="preserve">    },</t>
        </is>
      </c>
    </row>
    <row r="1516">
      <c r="A1516" s="84" t="inlineStr">
        <is>
          <t xml:space="preserve">    "avatarInitials": "TM",</t>
        </is>
      </c>
    </row>
    <row r="1517">
      <c r="A1517" s="84" t="inlineStr">
        <is>
          <t xml:space="preserve">    "avatarColor": "#CA6F1E",</t>
        </is>
      </c>
    </row>
    <row r="1518">
      <c r="A1518" s="84" t="inlineStr">
        <is>
          <t xml:space="preserve">    "bio": "Street-food recreations from around the world, cooked in a tiny London flat.",</t>
        </is>
      </c>
    </row>
    <row r="1519">
      <c r="A1519" s="84" t="inlineStr">
        <is>
          <t xml:space="preserve">    "languages": [</t>
        </is>
      </c>
    </row>
    <row r="1520">
      <c r="A1520" s="84" t="inlineStr">
        <is>
          <t xml:space="preserve">      "English"</t>
        </is>
      </c>
    </row>
    <row r="1521">
      <c r="A1521" s="84" t="inlineStr">
        <is>
          <t xml:space="preserve">    ],</t>
        </is>
      </c>
    </row>
    <row r="1522">
      <c r="A1522" s="84" t="inlineStr">
        <is>
          <t xml:space="preserve">    "formatsOffered": [</t>
        </is>
      </c>
    </row>
    <row r="1523">
      <c r="A1523" s="84" t="inlineStr">
        <is>
          <t xml:space="preserve">      "Integrated",</t>
        </is>
      </c>
    </row>
    <row r="1524">
      <c r="A1524" s="84" t="inlineStr">
        <is>
          <t xml:space="preserve">      "Dedicated",</t>
        </is>
      </c>
    </row>
    <row r="1525">
      <c r="A1525" s="84" t="inlineStr">
        <is>
          <t xml:space="preserve">      "Short"</t>
        </is>
      </c>
    </row>
    <row r="1526">
      <c r="A1526" s="84" t="inlineStr">
        <is>
          <t xml:space="preserve">    ],</t>
        </is>
      </c>
    </row>
    <row r="1527">
      <c r="A1527" s="84" t="inlineStr">
        <is>
          <t xml:space="preserve">    "turnaroundDays": 9,</t>
        </is>
      </c>
    </row>
    <row r="1528">
      <c r="A1528" s="84" t="inlineStr">
        <is>
          <t xml:space="preserve">    "workedWith": [</t>
        </is>
      </c>
    </row>
    <row r="1529">
      <c r="A1529" s="84" t="inlineStr">
        <is>
          <t xml:space="preserve">      "Food &amp; Beverage",</t>
        </is>
      </c>
    </row>
    <row r="1530">
      <c r="A1530" s="84" t="inlineStr">
        <is>
          <t xml:space="preserve">      "Cookware"</t>
        </is>
      </c>
    </row>
    <row r="1531">
      <c r="A1531" s="84" t="inlineStr">
        <is>
          <t xml:space="preserve">    ],</t>
        </is>
      </c>
    </row>
    <row r="1532">
      <c r="A1532" s="84" t="inlineStr">
        <is>
          <t xml:space="preserve">    "recentVideos": [</t>
        </is>
      </c>
    </row>
    <row r="1533">
      <c r="A1533" s="84" t="inlineStr">
        <is>
          <t xml:space="preserve">      {</t>
        </is>
      </c>
    </row>
    <row r="1534">
      <c r="A1534" s="84" t="inlineStr">
        <is>
          <t xml:space="preserve">        "title": "A Week of No-Waste Meals From One Haul",</t>
        </is>
      </c>
    </row>
    <row r="1535">
      <c r="A1535" s="84" t="inlineStr">
        <is>
          <t xml:space="preserve">        "daysAgo": 9,</t>
        </is>
      </c>
    </row>
    <row r="1536">
      <c r="A1536" s="84" t="inlineStr">
        <is>
          <t xml:space="preserve">        "views": 6000,</t>
        </is>
      </c>
    </row>
    <row r="1537">
      <c r="A1537" s="84" t="inlineStr">
        <is>
          <t xml:space="preserve">        "likes": 610,</t>
        </is>
      </c>
    </row>
    <row r="1538">
      <c r="A1538" s="84" t="inlineStr">
        <is>
          <t xml:space="preserve">        "comments": 70,</t>
        </is>
      </c>
    </row>
    <row r="1539">
      <c r="A1539" s="84" t="inlineStr">
        <is>
          <t xml:space="preserve">        "hadSponsor": false,</t>
        </is>
      </c>
    </row>
    <row r="1540">
      <c r="A1540" s="84" t="inlineStr">
        <is>
          <t xml:space="preserve">        "topicTags": [</t>
        </is>
      </c>
    </row>
    <row r="1541">
      <c r="A1541" s="84" t="inlineStr">
        <is>
          <t xml:space="preserve">          "meal-prep",</t>
        </is>
      </c>
    </row>
    <row r="1542">
      <c r="A1542" s="84" t="inlineStr">
        <is>
          <t xml:space="preserve">          "budget",</t>
        </is>
      </c>
    </row>
    <row r="1543">
      <c r="A1543" s="84" t="inlineStr">
        <is>
          <t xml:space="preserve">          "zero-waste"</t>
        </is>
      </c>
    </row>
    <row r="1544">
      <c r="A1544" s="84" t="inlineStr">
        <is>
          <t xml:space="preserve">        ]</t>
        </is>
      </c>
    </row>
    <row r="1545">
      <c r="A1545" s="84" t="inlineStr">
        <is>
          <t xml:space="preserve">      },</t>
        </is>
      </c>
    </row>
    <row r="1546">
      <c r="A1546" s="84" t="inlineStr">
        <is>
          <t xml:space="preserve">      {</t>
        </is>
      </c>
    </row>
    <row r="1547">
      <c r="A1547" s="84" t="inlineStr">
        <is>
          <t xml:space="preserve">        "title": "Blind Taste Test: Store Brand vs Name Brand",</t>
        </is>
      </c>
    </row>
    <row r="1548">
      <c r="A1548" s="84" t="inlineStr">
        <is>
          <t xml:space="preserve">        "daysAgo": 16,</t>
        </is>
      </c>
    </row>
    <row r="1549">
      <c r="A1549" s="84" t="inlineStr">
        <is>
          <t xml:space="preserve">        "views": 4000,</t>
        </is>
      </c>
    </row>
    <row r="1550">
      <c r="A1550" s="84" t="inlineStr">
        <is>
          <t xml:space="preserve">        "likes": 400,</t>
        </is>
      </c>
    </row>
    <row r="1551">
      <c r="A1551" s="84" t="inlineStr">
        <is>
          <t xml:space="preserve">        "comments": 45,</t>
        </is>
      </c>
    </row>
    <row r="1552">
      <c r="A1552" s="84" t="inlineStr">
        <is>
          <t xml:space="preserve">        "hadSponsor": false,</t>
        </is>
      </c>
    </row>
    <row r="1553">
      <c r="A1553" s="84" t="inlineStr">
        <is>
          <t xml:space="preserve">        "topicTags": [</t>
        </is>
      </c>
    </row>
    <row r="1554">
      <c r="A1554" s="84" t="inlineStr">
        <is>
          <t xml:space="preserve">          "taste-test",</t>
        </is>
      </c>
    </row>
    <row r="1555">
      <c r="A1555" s="84" t="inlineStr">
        <is>
          <t xml:space="preserve">          "value",</t>
        </is>
      </c>
    </row>
    <row r="1556">
      <c r="A1556" s="84" t="inlineStr">
        <is>
          <t xml:space="preserve">          "comparison"</t>
        </is>
      </c>
    </row>
    <row r="1557">
      <c r="A1557" s="84" t="inlineStr">
        <is>
          <t xml:space="preserve">        ]</t>
        </is>
      </c>
    </row>
    <row r="1558">
      <c r="A1558" s="84" t="inlineStr">
        <is>
          <t xml:space="preserve">      },</t>
        </is>
      </c>
    </row>
    <row r="1559">
      <c r="A1559" s="84" t="inlineStr">
        <is>
          <t xml:space="preserve">      {</t>
        </is>
      </c>
    </row>
    <row r="1560">
      <c r="A1560" s="84" t="inlineStr">
        <is>
          <t xml:space="preserve">        "title": "5 Pantry Staples I Won't Run Out Of",</t>
        </is>
      </c>
    </row>
    <row r="1561">
      <c r="A1561" s="84" t="inlineStr">
        <is>
          <t xml:space="preserve">        "daysAgo": 30,</t>
        </is>
      </c>
    </row>
    <row r="1562">
      <c r="A1562" s="84" t="inlineStr">
        <is>
          <t xml:space="preserve">        "views": 5000,</t>
        </is>
      </c>
    </row>
    <row r="1563">
      <c r="A1563" s="84" t="inlineStr">
        <is>
          <t xml:space="preserve">        "likes": 500,</t>
        </is>
      </c>
    </row>
    <row r="1564">
      <c r="A1564" s="84" t="inlineStr">
        <is>
          <t xml:space="preserve">        "comments": 55,</t>
        </is>
      </c>
    </row>
    <row r="1565">
      <c r="A1565" s="84" t="inlineStr">
        <is>
          <t xml:space="preserve">        "hadSponsor": true,</t>
        </is>
      </c>
    </row>
    <row r="1566">
      <c r="A1566" s="84" t="inlineStr">
        <is>
          <t xml:space="preserve">        "topicTags": [</t>
        </is>
      </c>
    </row>
    <row r="1567">
      <c r="A1567" s="84" t="inlineStr">
        <is>
          <t xml:space="preserve">          "pantry",</t>
        </is>
      </c>
    </row>
    <row r="1568">
      <c r="A1568" s="84" t="inlineStr">
        <is>
          <t xml:space="preserve">          "staples",</t>
        </is>
      </c>
    </row>
    <row r="1569">
      <c r="A1569" s="84" t="inlineStr">
        <is>
          <t xml:space="preserve">          "buying-guide"</t>
        </is>
      </c>
    </row>
    <row r="1570">
      <c r="A1570" s="84" t="inlineStr">
        <is>
          <t xml:space="preserve">        ]</t>
        </is>
      </c>
    </row>
    <row r="1571">
      <c r="A1571" s="84" t="inlineStr">
        <is>
          <t xml:space="preserve">      }</t>
        </is>
      </c>
    </row>
    <row r="1572">
      <c r="A1572" s="84" t="inlineStr">
        <is>
          <t xml:space="preserve">    ]</t>
        </is>
      </c>
    </row>
    <row r="1573">
      <c r="A1573" s="84" t="inlineStr">
        <is>
          <t xml:space="preserve">  },</t>
        </is>
      </c>
    </row>
    <row r="1574">
      <c r="A1574" s="84" t="inlineStr">
        <is>
          <t xml:space="preserve">  {</t>
        </is>
      </c>
    </row>
    <row r="1575">
      <c r="A1575" s="84" t="inlineStr">
        <is>
          <t xml:space="preserve">    "id": "bianca-ferro",</t>
        </is>
      </c>
    </row>
    <row r="1576">
      <c r="A1576" s="84" t="inlineStr">
        <is>
          <t xml:space="preserve">    "name": "Bianca Ferro",</t>
        </is>
      </c>
    </row>
    <row r="1577">
      <c r="A1577" s="84" t="inlineStr">
        <is>
          <t xml:space="preserve">    "handle": "@biancapasta",</t>
        </is>
      </c>
    </row>
    <row r="1578">
      <c r="A1578" s="84" t="inlineStr">
        <is>
          <t xml:space="preserve">    "category": "Cooking",</t>
        </is>
      </c>
    </row>
    <row r="1579">
      <c r="A1579" s="84" t="inlineStr">
        <is>
          <t xml:space="preserve">    "tier": "Micro",</t>
        </is>
      </c>
    </row>
    <row r="1580">
      <c r="A1580" s="84" t="inlineStr">
        <is>
          <t xml:space="preserve">    "subscribers": 73000,</t>
        </is>
      </c>
    </row>
    <row r="1581">
      <c r="A1581" s="84" t="inlineStr">
        <is>
          <t xml:space="preserve">    "avgViews": 34000,</t>
        </is>
      </c>
    </row>
    <row r="1582">
      <c r="A1582" s="84" t="inlineStr">
        <is>
          <t xml:space="preserve">    "engagementRate": 0.066,</t>
        </is>
      </c>
    </row>
    <row r="1583">
      <c r="A1583" s="84" t="inlineStr">
        <is>
          <t xml:space="preserve">    "channelVerified": true,</t>
        </is>
      </c>
    </row>
    <row r="1584">
      <c r="A1584" s="84" t="inlineStr">
        <is>
          <t xml:space="preserve">    "safetyScore": 95,</t>
        </is>
      </c>
    </row>
    <row r="1585">
      <c r="A1585" s="84" t="inlineStr">
        <is>
          <t xml:space="preserve">    "audienceAge": "25-44",</t>
        </is>
      </c>
    </row>
    <row r="1586">
      <c r="A1586" s="84" t="inlineStr">
        <is>
          <t xml:space="preserve">    "audienceGender": "59% F",</t>
        </is>
      </c>
    </row>
    <row r="1587">
      <c r="A1587" s="84" t="inlineStr">
        <is>
          <t xml:space="preserve">    "topCountry": "US",</t>
        </is>
      </c>
    </row>
    <row r="1588">
      <c r="A1588" s="84" t="inlineStr">
        <is>
          <t xml:space="preserve">    "uploadCadence": "1 / week",</t>
        </is>
      </c>
    </row>
    <row r="1589">
      <c r="A1589" s="84" t="inlineStr">
        <is>
          <t xml:space="preserve">    "avgLengthMin": 16,</t>
        </is>
      </c>
    </row>
    <row r="1590">
      <c r="A1590" s="84" t="inlineStr">
        <is>
          <t xml:space="preserve">    "rates": {</t>
        </is>
      </c>
    </row>
    <row r="1591">
      <c r="A1591" s="84" t="inlineStr">
        <is>
          <t xml:space="preserve">      "integrated": 1250,</t>
        </is>
      </c>
    </row>
    <row r="1592">
      <c r="A1592" s="84" t="inlineStr">
        <is>
          <t xml:space="preserve">      "dedicated": 2650,</t>
        </is>
      </c>
    </row>
    <row r="1593">
      <c r="A1593" s="84" t="inlineStr">
        <is>
          <t xml:space="preserve">      "short": 640</t>
        </is>
      </c>
    </row>
    <row r="1594">
      <c r="A1594" s="84" t="inlineStr">
        <is>
          <t xml:space="preserve">    },</t>
        </is>
      </c>
    </row>
    <row r="1595">
      <c r="A1595" s="84" t="inlineStr">
        <is>
          <t xml:space="preserve">    "avatarInitials": "BF",</t>
        </is>
      </c>
    </row>
    <row r="1596">
      <c r="A1596" s="84" t="inlineStr">
        <is>
          <t xml:space="preserve">    "avatarColor": "#7D3C98",</t>
        </is>
      </c>
    </row>
    <row r="1597">
      <c r="A1597" s="84" t="inlineStr">
        <is>
          <t xml:space="preserve">    "bio": "Regional Italian home cooking, one nonna technique at a time.",</t>
        </is>
      </c>
    </row>
    <row r="1598">
      <c r="A1598" s="84" t="inlineStr">
        <is>
          <t xml:space="preserve">    "languages": [</t>
        </is>
      </c>
    </row>
    <row r="1599">
      <c r="A1599" s="84" t="inlineStr">
        <is>
          <t xml:space="preserve">      "English",</t>
        </is>
      </c>
    </row>
    <row r="1600">
      <c r="A1600" s="84" t="inlineStr">
        <is>
          <t xml:space="preserve">      "Italian"</t>
        </is>
      </c>
    </row>
    <row r="1601">
      <c r="A1601" s="84" t="inlineStr">
        <is>
          <t xml:space="preserve">    ],</t>
        </is>
      </c>
    </row>
    <row r="1602">
      <c r="A1602" s="84" t="inlineStr">
        <is>
          <t xml:space="preserve">    "formatsOffered": [</t>
        </is>
      </c>
    </row>
    <row r="1603">
      <c r="A1603" s="84" t="inlineStr">
        <is>
          <t xml:space="preserve">      "Integrated",</t>
        </is>
      </c>
    </row>
    <row r="1604">
      <c r="A1604" s="84" t="inlineStr">
        <is>
          <t xml:space="preserve">      "Dedicated",</t>
        </is>
      </c>
    </row>
    <row r="1605">
      <c r="A1605" s="84" t="inlineStr">
        <is>
          <t xml:space="preserve">      "Short"</t>
        </is>
      </c>
    </row>
    <row r="1606">
      <c r="A1606" s="84" t="inlineStr">
        <is>
          <t xml:space="preserve">    ],</t>
        </is>
      </c>
    </row>
    <row r="1607">
      <c r="A1607" s="84" t="inlineStr">
        <is>
          <t xml:space="preserve">    "turnaroundDays": 12,</t>
        </is>
      </c>
    </row>
    <row r="1608">
      <c r="A1608" s="84" t="inlineStr">
        <is>
          <t xml:space="preserve">    "workedWith": [</t>
        </is>
      </c>
    </row>
    <row r="1609">
      <c r="A1609" s="84" t="inlineStr">
        <is>
          <t xml:space="preserve">      "Cooking",</t>
        </is>
      </c>
    </row>
    <row r="1610">
      <c r="A1610" s="84" t="inlineStr">
        <is>
          <t xml:space="preserve">      "Cookware"</t>
        </is>
      </c>
    </row>
    <row r="1611">
      <c r="A1611" s="84" t="inlineStr">
        <is>
          <t xml:space="preserve">    ],</t>
        </is>
      </c>
    </row>
    <row r="1612">
      <c r="A1612" s="84" t="inlineStr">
        <is>
          <t xml:space="preserve">    "recentVideos": [</t>
        </is>
      </c>
    </row>
    <row r="1613">
      <c r="A1613" s="84" t="inlineStr">
        <is>
          <t xml:space="preserve">      {</t>
        </is>
      </c>
    </row>
    <row r="1614">
      <c r="A1614" s="84" t="inlineStr">
        <is>
          <t xml:space="preserve">        "title": "What Professional Kitchens Do Differently",</t>
        </is>
      </c>
    </row>
    <row r="1615">
      <c r="A1615" s="84" t="inlineStr">
        <is>
          <t xml:space="preserve">        "daysAgo": 4,</t>
        </is>
      </c>
    </row>
    <row r="1616">
      <c r="A1616" s="84" t="inlineStr">
        <is>
          <t xml:space="preserve">        "views": 42000,</t>
        </is>
      </c>
    </row>
    <row r="1617">
      <c r="A1617" s="84" t="inlineStr">
        <is>
          <t xml:space="preserve">        "likes": 2490,</t>
        </is>
      </c>
    </row>
    <row r="1618">
      <c r="A1618" s="84" t="inlineStr">
        <is>
          <t xml:space="preserve">        "comments": 275,</t>
        </is>
      </c>
    </row>
    <row r="1619">
      <c r="A1619" s="84" t="inlineStr">
        <is>
          <t xml:space="preserve">        "hadSponsor": false,</t>
        </is>
      </c>
    </row>
    <row r="1620">
      <c r="A1620" s="84" t="inlineStr">
        <is>
          <t xml:space="preserve">        "topicTags": [</t>
        </is>
      </c>
    </row>
    <row r="1621">
      <c r="A1621" s="84" t="inlineStr">
        <is>
          <t xml:space="preserve">          "technique",</t>
        </is>
      </c>
    </row>
    <row r="1622">
      <c r="A1622" s="84" t="inlineStr">
        <is>
          <t xml:space="preserve">          "pro-tips"</t>
        </is>
      </c>
    </row>
    <row r="1623">
      <c r="A1623" s="84" t="inlineStr">
        <is>
          <t xml:space="preserve">        ]</t>
        </is>
      </c>
    </row>
    <row r="1624">
      <c r="A1624" s="84" t="inlineStr">
        <is>
          <t xml:space="preserve">      },</t>
        </is>
      </c>
    </row>
    <row r="1625">
      <c r="A1625" s="84" t="inlineStr">
        <is>
          <t xml:space="preserve">      {</t>
        </is>
      </c>
    </row>
    <row r="1626">
      <c r="A1626" s="84" t="inlineStr">
        <is>
          <t xml:space="preserve">        "title": "The Sauce That Saves Any Weeknight",</t>
        </is>
      </c>
    </row>
    <row r="1627">
      <c r="A1627" s="84" t="inlineStr">
        <is>
          <t xml:space="preserve">        "daysAgo": 15,</t>
        </is>
      </c>
    </row>
    <row r="1628">
      <c r="A1628" s="84" t="inlineStr">
        <is>
          <t xml:space="preserve">        "views": 31000,</t>
        </is>
      </c>
    </row>
    <row r="1629">
      <c r="A1629" s="84" t="inlineStr">
        <is>
          <t xml:space="preserve">        "likes": 1840,</t>
        </is>
      </c>
    </row>
    <row r="1630">
      <c r="A1630" s="84" t="inlineStr">
        <is>
          <t xml:space="preserve">        "comments": 205,</t>
        </is>
      </c>
    </row>
    <row r="1631">
      <c r="A1631" s="84" t="inlineStr">
        <is>
          <t xml:space="preserve">        "hadSponsor": false,</t>
        </is>
      </c>
    </row>
    <row r="1632">
      <c r="A1632" s="84" t="inlineStr">
        <is>
          <t xml:space="preserve">        "topicTags": [</t>
        </is>
      </c>
    </row>
    <row r="1633">
      <c r="A1633" s="84" t="inlineStr">
        <is>
          <t xml:space="preserve">          "recipe",</t>
        </is>
      </c>
    </row>
    <row r="1634">
      <c r="A1634" s="84" t="inlineStr">
        <is>
          <t xml:space="preserve">          "technique",</t>
        </is>
      </c>
    </row>
    <row r="1635">
      <c r="A1635" s="84" t="inlineStr">
        <is>
          <t xml:space="preserve">          "sauce"</t>
        </is>
      </c>
    </row>
    <row r="1636">
      <c r="A1636" s="84" t="inlineStr">
        <is>
          <t xml:space="preserve">        ]</t>
        </is>
      </c>
    </row>
    <row r="1637">
      <c r="A1637" s="84" t="inlineStr">
        <is>
          <t xml:space="preserve">      },</t>
        </is>
      </c>
    </row>
    <row r="1638">
      <c r="A1638" s="84" t="inlineStr">
        <is>
          <t xml:space="preserve">      {</t>
        </is>
      </c>
    </row>
    <row r="1639">
      <c r="A1639" s="84" t="inlineStr">
        <is>
          <t xml:space="preserve">        "title": "Restaurant-Style Carnitas in a Home Kitchen",</t>
        </is>
      </c>
    </row>
    <row r="1640">
      <c r="A1640" s="84" t="inlineStr">
        <is>
          <t xml:space="preserve">        "daysAgo": 22,</t>
        </is>
      </c>
    </row>
    <row r="1641">
      <c r="A1641" s="84" t="inlineStr">
        <is>
          <t xml:space="preserve">        "views": 36000,</t>
        </is>
      </c>
    </row>
    <row r="1642">
      <c r="A1642" s="84" t="inlineStr">
        <is>
          <t xml:space="preserve">        "likes": 2200,</t>
        </is>
      </c>
    </row>
    <row r="1643">
      <c r="A1643" s="84" t="inlineStr">
        <is>
          <t xml:space="preserve">        "comments": 245,</t>
        </is>
      </c>
    </row>
    <row r="1644">
      <c r="A1644" s="84" t="inlineStr">
        <is>
          <t xml:space="preserve">        "hadSponsor": true,</t>
        </is>
      </c>
    </row>
    <row r="1645">
      <c r="A1645" s="84" t="inlineStr">
        <is>
          <t xml:space="preserve">        "topicTags": [</t>
        </is>
      </c>
    </row>
    <row r="1646">
      <c r="A1646" s="84" t="inlineStr">
        <is>
          <t xml:space="preserve">          "technique",</t>
        </is>
      </c>
    </row>
    <row r="1647">
      <c r="A1647" s="84" t="inlineStr">
        <is>
          <t xml:space="preserve">          "recipe",</t>
        </is>
      </c>
    </row>
    <row r="1648">
      <c r="A1648" s="84" t="inlineStr">
        <is>
          <t xml:space="preserve">          "restaurant"</t>
        </is>
      </c>
    </row>
    <row r="1649">
      <c r="A1649" s="84" t="inlineStr">
        <is>
          <t xml:space="preserve">        ]</t>
        </is>
      </c>
    </row>
    <row r="1650">
      <c r="A1650" s="84" t="inlineStr">
        <is>
          <t xml:space="preserve">      }</t>
        </is>
      </c>
    </row>
    <row r="1651">
      <c r="A1651" s="84" t="inlineStr">
        <is>
          <t xml:space="preserve">    ]</t>
        </is>
      </c>
    </row>
    <row r="1652">
      <c r="A1652" s="84" t="inlineStr">
        <is>
          <t xml:space="preserve">  },</t>
        </is>
      </c>
    </row>
    <row r="1653">
      <c r="A1653" s="84" t="inlineStr">
        <is>
          <t xml:space="preserve">  {</t>
        </is>
      </c>
    </row>
    <row r="1654">
      <c r="A1654" s="84" t="inlineStr">
        <is>
          <t xml:space="preserve">    "id": "rafael-ortiz",</t>
        </is>
      </c>
    </row>
    <row r="1655">
      <c r="A1655" s="84" t="inlineStr">
        <is>
          <t xml:space="preserve">    "name": "Rafael Ortiz",</t>
        </is>
      </c>
    </row>
    <row r="1656">
      <c r="A1656" s="84" t="inlineStr">
        <is>
          <t xml:space="preserve">    "handle": "@rafaelasado",</t>
        </is>
      </c>
    </row>
    <row r="1657">
      <c r="A1657" s="84" t="inlineStr">
        <is>
          <t xml:space="preserve">    "category": "Cooking",</t>
        </is>
      </c>
    </row>
    <row r="1658">
      <c r="A1658" s="84" t="inlineStr">
        <is>
          <t xml:space="preserve">    "tier": "Nano",</t>
        </is>
      </c>
    </row>
    <row r="1659">
      <c r="A1659" s="84" t="inlineStr">
        <is>
          <t xml:space="preserve">    "subscribers": 5400,</t>
        </is>
      </c>
    </row>
    <row r="1660">
      <c r="A1660" s="84" t="inlineStr">
        <is>
          <t xml:space="preserve">    "avgViews": 4000,</t>
        </is>
      </c>
    </row>
    <row r="1661">
      <c r="A1661" s="84" t="inlineStr">
        <is>
          <t xml:space="preserve">    "engagementRate": 0.121,</t>
        </is>
      </c>
    </row>
    <row r="1662">
      <c r="A1662" s="84" t="inlineStr">
        <is>
          <t xml:space="preserve">    "channelVerified": false,</t>
        </is>
      </c>
    </row>
    <row r="1663">
      <c r="A1663" s="84" t="inlineStr">
        <is>
          <t xml:space="preserve">    "safetyScore": 96,</t>
        </is>
      </c>
    </row>
    <row r="1664">
      <c r="A1664" s="84" t="inlineStr">
        <is>
          <t xml:space="preserve">    "audienceAge": "25-44",</t>
        </is>
      </c>
    </row>
    <row r="1665">
      <c r="A1665" s="84" t="inlineStr">
        <is>
          <t xml:space="preserve">    "audienceGender": "66% M",</t>
        </is>
      </c>
    </row>
    <row r="1666">
      <c r="A1666" s="84" t="inlineStr">
        <is>
          <t xml:space="preserve">    "topCountry": "US",</t>
        </is>
      </c>
    </row>
    <row r="1667">
      <c r="A1667" s="84" t="inlineStr">
        <is>
          <t xml:space="preserve">    "uploadCadence": "1 / week",</t>
        </is>
      </c>
    </row>
    <row r="1668">
      <c r="A1668" s="84" t="inlineStr">
        <is>
          <t xml:space="preserve">    "avgLengthMin": 19,</t>
        </is>
      </c>
    </row>
    <row r="1669">
      <c r="A1669" s="84" t="inlineStr">
        <is>
          <t xml:space="preserve">    "rates": {</t>
        </is>
      </c>
    </row>
    <row r="1670">
      <c r="A1670" s="84" t="inlineStr">
        <is>
          <t xml:space="preserve">      "integrated": 190,</t>
        </is>
      </c>
    </row>
    <row r="1671">
      <c r="A1671" s="84" t="inlineStr">
        <is>
          <t xml:space="preserve">      "dedicated": 400,</t>
        </is>
      </c>
    </row>
    <row r="1672">
      <c r="A1672" s="84" t="inlineStr">
        <is>
          <t xml:space="preserve">      "short": 100</t>
        </is>
      </c>
    </row>
    <row r="1673">
      <c r="A1673" s="84" t="inlineStr">
        <is>
          <t xml:space="preserve">    },</t>
        </is>
      </c>
    </row>
    <row r="1674">
      <c r="A1674" s="84" t="inlineStr">
        <is>
          <t xml:space="preserve">    "avatarInitials": "RO",</t>
        </is>
      </c>
    </row>
    <row r="1675">
      <c r="A1675" s="84" t="inlineStr">
        <is>
          <t xml:space="preserve">    "avatarColor": "#A04000",</t>
        </is>
      </c>
    </row>
    <row r="1676">
      <c r="A1676" s="84" t="inlineStr">
        <is>
          <t xml:space="preserve">    "bio": "Live-fire and asado cooking for backyard weekends.",</t>
        </is>
      </c>
    </row>
    <row r="1677">
      <c r="A1677" s="84" t="inlineStr">
        <is>
          <t xml:space="preserve">    "languages": [</t>
        </is>
      </c>
    </row>
    <row r="1678">
      <c r="A1678" s="84" t="inlineStr">
        <is>
          <t xml:space="preserve">      "English",</t>
        </is>
      </c>
    </row>
    <row r="1679">
      <c r="A1679" s="84" t="inlineStr">
        <is>
          <t xml:space="preserve">      "Spanish"</t>
        </is>
      </c>
    </row>
    <row r="1680">
      <c r="A1680" s="84" t="inlineStr">
        <is>
          <t xml:space="preserve">    ],</t>
        </is>
      </c>
    </row>
    <row r="1681">
      <c r="A1681" s="84" t="inlineStr">
        <is>
          <t xml:space="preserve">    "formatsOffered": [</t>
        </is>
      </c>
    </row>
    <row r="1682">
      <c r="A1682" s="84" t="inlineStr">
        <is>
          <t xml:space="preserve">      "Integrated",</t>
        </is>
      </c>
    </row>
    <row r="1683">
      <c r="A1683" s="84" t="inlineStr">
        <is>
          <t xml:space="preserve">      "Short"</t>
        </is>
      </c>
    </row>
    <row r="1684">
      <c r="A1684" s="84" t="inlineStr">
        <is>
          <t xml:space="preserve">    ],</t>
        </is>
      </c>
    </row>
    <row r="1685">
      <c r="A1685" s="84" t="inlineStr">
        <is>
          <t xml:space="preserve">    "turnaroundDays": 14,</t>
        </is>
      </c>
    </row>
    <row r="1686">
      <c r="A1686" s="84" t="inlineStr">
        <is>
          <t xml:space="preserve">    "workedWith": [</t>
        </is>
      </c>
    </row>
    <row r="1687">
      <c r="A1687" s="84" t="inlineStr">
        <is>
          <t xml:space="preserve">      "Cooking",</t>
        </is>
      </c>
    </row>
    <row r="1688">
      <c r="A1688" s="84" t="inlineStr">
        <is>
          <t xml:space="preserve">      "Grilling Gear"</t>
        </is>
      </c>
    </row>
    <row r="1689">
      <c r="A1689" s="84" t="inlineStr">
        <is>
          <t xml:space="preserve">    ],</t>
        </is>
      </c>
    </row>
    <row r="1690">
      <c r="A1690" s="84" t="inlineStr">
        <is>
          <t xml:space="preserve">    "recentVideos": [</t>
        </is>
      </c>
    </row>
    <row r="1691">
      <c r="A1691" s="84" t="inlineStr">
        <is>
          <t xml:space="preserve">      {</t>
        </is>
      </c>
    </row>
    <row r="1692">
      <c r="A1692" s="84" t="inlineStr">
        <is>
          <t xml:space="preserve">        "title": "The Only 7 Tools You Actually Need",</t>
        </is>
      </c>
    </row>
    <row r="1693">
      <c r="A1693" s="84" t="inlineStr">
        <is>
          <t xml:space="preserve">        "daysAgo": 8,</t>
        </is>
      </c>
    </row>
    <row r="1694">
      <c r="A1694" s="84" t="inlineStr">
        <is>
          <t xml:space="preserve">        "views": 5000,</t>
        </is>
      </c>
    </row>
    <row r="1695">
      <c r="A1695" s="84" t="inlineStr">
        <is>
          <t xml:space="preserve">        "likes": 540,</t>
        </is>
      </c>
    </row>
    <row r="1696">
      <c r="A1696" s="84" t="inlineStr">
        <is>
          <t xml:space="preserve">        "comments": 60,</t>
        </is>
      </c>
    </row>
    <row r="1697">
      <c r="A1697" s="84" t="inlineStr">
        <is>
          <t xml:space="preserve">        "hadSponsor": false,</t>
        </is>
      </c>
    </row>
    <row r="1698">
      <c r="A1698" s="84" t="inlineStr">
        <is>
          <t xml:space="preserve">        "topicTags": [</t>
        </is>
      </c>
    </row>
    <row r="1699">
      <c r="A1699" s="84" t="inlineStr">
        <is>
          <t xml:space="preserve">          "gear",</t>
        </is>
      </c>
    </row>
    <row r="1700">
      <c r="A1700" s="84" t="inlineStr">
        <is>
          <t xml:space="preserve">          "buying-guide",</t>
        </is>
      </c>
    </row>
    <row r="1701">
      <c r="A1701" s="84" t="inlineStr">
        <is>
          <t xml:space="preserve">          "kitchen"</t>
        </is>
      </c>
    </row>
    <row r="1702">
      <c r="A1702" s="84" t="inlineStr">
        <is>
          <t xml:space="preserve">        ]</t>
        </is>
      </c>
    </row>
    <row r="1703">
      <c r="A1703" s="84" t="inlineStr">
        <is>
          <t xml:space="preserve">      },</t>
        </is>
      </c>
    </row>
    <row r="1704">
      <c r="A1704" s="84" t="inlineStr">
        <is>
          <t xml:space="preserve">      {</t>
        </is>
      </c>
    </row>
    <row r="1705">
      <c r="A1705" s="84" t="inlineStr">
        <is>
          <t xml:space="preserve">        "title": "I Cooked One Cookbook for a Week",</t>
        </is>
      </c>
    </row>
    <row r="1706">
      <c r="A1706" s="84" t="inlineStr">
        <is>
          <t xml:space="preserve">        "daysAgo": 14,</t>
        </is>
      </c>
    </row>
    <row r="1707">
      <c r="A1707" s="84" t="inlineStr">
        <is>
          <t xml:space="preserve">        "views": 4000,</t>
        </is>
      </c>
    </row>
    <row r="1708">
      <c r="A1708" s="84" t="inlineStr">
        <is>
          <t xml:space="preserve">        "likes": 450,</t>
        </is>
      </c>
    </row>
    <row r="1709">
      <c r="A1709" s="84" t="inlineStr">
        <is>
          <t xml:space="preserve">        "comments": 50,</t>
        </is>
      </c>
    </row>
    <row r="1710">
      <c r="A1710" s="84" t="inlineStr">
        <is>
          <t xml:space="preserve">        "hadSponsor": false,</t>
        </is>
      </c>
    </row>
    <row r="1711">
      <c r="A1711" s="84" t="inlineStr">
        <is>
          <t xml:space="preserve">        "topicTags": [</t>
        </is>
      </c>
    </row>
    <row r="1712">
      <c r="A1712" s="84" t="inlineStr">
        <is>
          <t xml:space="preserve">          "challenge",</t>
        </is>
      </c>
    </row>
    <row r="1713">
      <c r="A1713" s="84" t="inlineStr">
        <is>
          <t xml:space="preserve">          "cookbook",</t>
        </is>
      </c>
    </row>
    <row r="1714">
      <c r="A1714" s="84" t="inlineStr">
        <is>
          <t xml:space="preserve">          "recipe"</t>
        </is>
      </c>
    </row>
    <row r="1715">
      <c r="A1715" s="84" t="inlineStr">
        <is>
          <t xml:space="preserve">        ]</t>
        </is>
      </c>
    </row>
    <row r="1716">
      <c r="A1716" s="84" t="inlineStr">
        <is>
          <t xml:space="preserve">      },</t>
        </is>
      </c>
    </row>
    <row r="1717">
      <c r="A1717" s="84" t="inlineStr">
        <is>
          <t xml:space="preserve">      {</t>
        </is>
      </c>
    </row>
    <row r="1718">
      <c r="A1718" s="84" t="inlineStr">
        <is>
          <t xml:space="preserve">        "title": "Fixing the Mistake Everyone Makes With Carnitas",</t>
        </is>
      </c>
    </row>
    <row r="1719">
      <c r="A1719" s="84" t="inlineStr">
        <is>
          <t xml:space="preserve">        "daysAgo": 23,</t>
        </is>
      </c>
    </row>
    <row r="1720">
      <c r="A1720" s="84" t="inlineStr">
        <is>
          <t xml:space="preserve">        "views": 4000,</t>
        </is>
      </c>
    </row>
    <row r="1721">
      <c r="A1721" s="84" t="inlineStr">
        <is>
          <t xml:space="preserve">        "likes": 460,</t>
        </is>
      </c>
    </row>
    <row r="1722">
      <c r="A1722" s="84" t="inlineStr">
        <is>
          <t xml:space="preserve">        "comments": 50,</t>
        </is>
      </c>
    </row>
    <row r="1723">
      <c r="A1723" s="84" t="inlineStr">
        <is>
          <t xml:space="preserve">        "hadSponsor": false,</t>
        </is>
      </c>
    </row>
    <row r="1724">
      <c r="A1724" s="84" t="inlineStr">
        <is>
          <t xml:space="preserve">        "topicTags": [</t>
        </is>
      </c>
    </row>
    <row r="1725">
      <c r="A1725" s="84" t="inlineStr">
        <is>
          <t xml:space="preserve">          "technique",</t>
        </is>
      </c>
    </row>
    <row r="1726">
      <c r="A1726" s="84" t="inlineStr">
        <is>
          <t xml:space="preserve">          "troubleshooting"</t>
        </is>
      </c>
    </row>
    <row r="1727">
      <c r="A1727" s="84" t="inlineStr">
        <is>
          <t xml:space="preserve">        ]</t>
        </is>
      </c>
    </row>
    <row r="1728">
      <c r="A1728" s="84" t="inlineStr">
        <is>
          <t xml:space="preserve">      }</t>
        </is>
      </c>
    </row>
    <row r="1729">
      <c r="A1729" s="84" t="inlineStr">
        <is>
          <t xml:space="preserve">    ]</t>
        </is>
      </c>
    </row>
    <row r="1730">
      <c r="A1730" s="84" t="inlineStr">
        <is>
          <t xml:space="preserve">  },</t>
        </is>
      </c>
    </row>
    <row r="1731">
      <c r="A1731" s="84" t="inlineStr">
        <is>
          <t xml:space="preserve">  {</t>
        </is>
      </c>
    </row>
    <row r="1732">
      <c r="A1732" s="84" t="inlineStr">
        <is>
          <t xml:space="preserve">    "id": "stella-vance",</t>
        </is>
      </c>
    </row>
    <row r="1733">
      <c r="A1733" s="84" t="inlineStr">
        <is>
          <t xml:space="preserve">    "name": "Stella Vance",</t>
        </is>
      </c>
    </row>
    <row r="1734">
      <c r="A1734" s="84" t="inlineStr">
        <is>
          <t xml:space="preserve">    "handle": "@stellawellco",</t>
        </is>
      </c>
    </row>
    <row r="1735">
      <c r="A1735" s="84" t="inlineStr">
        <is>
          <t xml:space="preserve">    "category": "Health &amp; Lifestyle",</t>
        </is>
      </c>
    </row>
    <row r="1736">
      <c r="A1736" s="84" t="inlineStr">
        <is>
          <t xml:space="preserve">    "tier": "Micro",</t>
        </is>
      </c>
    </row>
    <row r="1737">
      <c r="A1737" s="84" t="inlineStr">
        <is>
          <t xml:space="preserve">    "subscribers": 34000,</t>
        </is>
      </c>
    </row>
    <row r="1738">
      <c r="A1738" s="84" t="inlineStr">
        <is>
          <t xml:space="preserve">    "avgViews": 17000,</t>
        </is>
      </c>
    </row>
    <row r="1739">
      <c r="A1739" s="84" t="inlineStr">
        <is>
          <t xml:space="preserve">    "engagementRate": 0.075,</t>
        </is>
      </c>
    </row>
    <row r="1740">
      <c r="A1740" s="84" t="inlineStr">
        <is>
          <t xml:space="preserve">    "channelVerified": true,</t>
        </is>
      </c>
    </row>
    <row r="1741">
      <c r="A1741" s="84" t="inlineStr">
        <is>
          <t xml:space="preserve">    "safetyScore": 97,</t>
        </is>
      </c>
    </row>
    <row r="1742">
      <c r="A1742" s="84" t="inlineStr">
        <is>
          <t xml:space="preserve">    "audienceAge": "25-34",</t>
        </is>
      </c>
    </row>
    <row r="1743">
      <c r="A1743" s="84" t="inlineStr">
        <is>
          <t xml:space="preserve">    "audienceGender": "74% F",</t>
        </is>
      </c>
    </row>
    <row r="1744">
      <c r="A1744" s="84" t="inlineStr">
        <is>
          <t xml:space="preserve">    "topCountry": "US",</t>
        </is>
      </c>
    </row>
    <row r="1745">
      <c r="A1745" s="84" t="inlineStr">
        <is>
          <t xml:space="preserve">    "uploadCadence": "2 / week",</t>
        </is>
      </c>
    </row>
    <row r="1746">
      <c r="A1746" s="84" t="inlineStr">
        <is>
          <t xml:space="preserve">    "avgLengthMin": 10,</t>
        </is>
      </c>
    </row>
    <row r="1747">
      <c r="A1747" s="84" t="inlineStr">
        <is>
          <t xml:space="preserve">    "rates": {</t>
        </is>
      </c>
    </row>
    <row r="1748">
      <c r="A1748" s="84" t="inlineStr">
        <is>
          <t xml:space="preserve">      "integrated": 630,</t>
        </is>
      </c>
    </row>
    <row r="1749">
      <c r="A1749" s="84" t="inlineStr">
        <is>
          <t xml:space="preserve">      "dedicated": 1330,</t>
        </is>
      </c>
    </row>
    <row r="1750">
      <c r="A1750" s="84" t="inlineStr">
        <is>
          <t xml:space="preserve">      "short": 320</t>
        </is>
      </c>
    </row>
    <row r="1751">
      <c r="A1751" s="84" t="inlineStr">
        <is>
          <t xml:space="preserve">    },</t>
        </is>
      </c>
    </row>
    <row r="1752">
      <c r="A1752" s="84" t="inlineStr">
        <is>
          <t xml:space="preserve">    "avatarInitials": "SV",</t>
        </is>
      </c>
    </row>
    <row r="1753">
      <c r="A1753" s="84" t="inlineStr">
        <is>
          <t xml:space="preserve">    "avatarColor": "#1ABC9C",</t>
        </is>
      </c>
    </row>
    <row r="1754">
      <c r="A1754" s="84" t="inlineStr">
        <is>
          <t xml:space="preserve">    "bio": "Evidence-first wellness with the hype and the supplements stripped out.",</t>
        </is>
      </c>
    </row>
    <row r="1755">
      <c r="A1755" s="84" t="inlineStr">
        <is>
          <t xml:space="preserve">    "languages": [</t>
        </is>
      </c>
    </row>
    <row r="1756">
      <c r="A1756" s="84" t="inlineStr">
        <is>
          <t xml:space="preserve">      "English"</t>
        </is>
      </c>
    </row>
    <row r="1757">
      <c r="A1757" s="84" t="inlineStr">
        <is>
          <t xml:space="preserve">    ],</t>
        </is>
      </c>
    </row>
    <row r="1758">
      <c r="A1758" s="84" t="inlineStr">
        <is>
          <t xml:space="preserve">    "formatsOffered": [</t>
        </is>
      </c>
    </row>
    <row r="1759">
      <c r="A1759" s="84" t="inlineStr">
        <is>
          <t xml:space="preserve">      "Integrated",</t>
        </is>
      </c>
    </row>
    <row r="1760">
      <c r="A1760" s="84" t="inlineStr">
        <is>
          <t xml:space="preserve">      "Dedicated",</t>
        </is>
      </c>
    </row>
    <row r="1761">
      <c r="A1761" s="84" t="inlineStr">
        <is>
          <t xml:space="preserve">      "Short"</t>
        </is>
      </c>
    </row>
    <row r="1762">
      <c r="A1762" s="84" t="inlineStr">
        <is>
          <t xml:space="preserve">    ],</t>
        </is>
      </c>
    </row>
    <row r="1763">
      <c r="A1763" s="84" t="inlineStr">
        <is>
          <t xml:space="preserve">    "turnaroundDays": 8,</t>
        </is>
      </c>
    </row>
    <row r="1764">
      <c r="A1764" s="84" t="inlineStr">
        <is>
          <t xml:space="preserve">    "workedWith": [</t>
        </is>
      </c>
    </row>
    <row r="1765">
      <c r="A1765" s="84" t="inlineStr">
        <is>
          <t xml:space="preserve">      "Wellness",</t>
        </is>
      </c>
    </row>
    <row r="1766">
      <c r="A1766" s="84" t="inlineStr">
        <is>
          <t xml:space="preserve">      "Activewear"</t>
        </is>
      </c>
    </row>
    <row r="1767">
      <c r="A1767" s="84" t="inlineStr">
        <is>
          <t xml:space="preserve">    ],</t>
        </is>
      </c>
    </row>
    <row r="1768">
      <c r="A1768" s="84" t="inlineStr">
        <is>
          <t xml:space="preserve">    "recentVideos": [</t>
        </is>
      </c>
    </row>
    <row r="1769">
      <c r="A1769" s="84" t="inlineStr">
        <is>
          <t xml:space="preserve">      {</t>
        </is>
      </c>
    </row>
    <row r="1770">
      <c r="A1770" s="84" t="inlineStr">
        <is>
          <t xml:space="preserve">        "title": "I Tried Cold Showers for 30 Days",</t>
        </is>
      </c>
    </row>
    <row r="1771">
      <c r="A1771" s="84" t="inlineStr">
        <is>
          <t xml:space="preserve">        "daysAgo": 3,</t>
        </is>
      </c>
    </row>
    <row r="1772">
      <c r="A1772" s="84" t="inlineStr">
        <is>
          <t xml:space="preserve">        "views": 21000,</t>
        </is>
      </c>
    </row>
    <row r="1773">
      <c r="A1773" s="84" t="inlineStr">
        <is>
          <t xml:space="preserve">        "likes": 1470,</t>
        </is>
      </c>
    </row>
    <row r="1774">
      <c r="A1774" s="84" t="inlineStr">
        <is>
          <t xml:space="preserve">        "comments": 165,</t>
        </is>
      </c>
    </row>
    <row r="1775">
      <c r="A1775" s="84" t="inlineStr">
        <is>
          <t xml:space="preserve">        "hadSponsor": false,</t>
        </is>
      </c>
    </row>
    <row r="1776">
      <c r="A1776" s="84" t="inlineStr">
        <is>
          <t xml:space="preserve">        "topicTags": [</t>
        </is>
      </c>
    </row>
    <row r="1777">
      <c r="A1777" s="84" t="inlineStr">
        <is>
          <t xml:space="preserve">          "challenge",</t>
        </is>
      </c>
    </row>
    <row r="1778">
      <c r="A1778" s="84" t="inlineStr">
        <is>
          <t xml:space="preserve">          "wellness",</t>
        </is>
      </c>
    </row>
    <row r="1779">
      <c r="A1779" s="84" t="inlineStr">
        <is>
          <t xml:space="preserve">          "experiment"</t>
        </is>
      </c>
    </row>
    <row r="1780">
      <c r="A1780" s="84" t="inlineStr">
        <is>
          <t xml:space="preserve">        ]</t>
        </is>
      </c>
    </row>
    <row r="1781">
      <c r="A1781" s="84" t="inlineStr">
        <is>
          <t xml:space="preserve">      },</t>
        </is>
      </c>
    </row>
    <row r="1782">
      <c r="A1782" s="84" t="inlineStr">
        <is>
          <t xml:space="preserve">      {</t>
        </is>
      </c>
    </row>
    <row r="1783">
      <c r="A1783" s="84" t="inlineStr">
        <is>
          <t xml:space="preserve">        "title": "Cutting Caffeine Without the Crash",</t>
        </is>
      </c>
    </row>
    <row r="1784">
      <c r="A1784" s="84" t="inlineStr">
        <is>
          <t xml:space="preserve">        "daysAgo": 14,</t>
        </is>
      </c>
    </row>
    <row r="1785">
      <c r="A1785" s="84" t="inlineStr">
        <is>
          <t xml:space="preserve">        "views": 15000,</t>
        </is>
      </c>
    </row>
    <row r="1786">
      <c r="A1786" s="84" t="inlineStr">
        <is>
          <t xml:space="preserve">        "likes": 1000,</t>
        </is>
      </c>
    </row>
    <row r="1787">
      <c r="A1787" s="84" t="inlineStr">
        <is>
          <t xml:space="preserve">        "comments": 110,</t>
        </is>
      </c>
    </row>
    <row r="1788">
      <c r="A1788" s="84" t="inlineStr">
        <is>
          <t xml:space="preserve">        "hadSponsor": false,</t>
        </is>
      </c>
    </row>
    <row r="1789">
      <c r="A1789" s="84" t="inlineStr">
        <is>
          <t xml:space="preserve">        "topicTags": [</t>
        </is>
      </c>
    </row>
    <row r="1790">
      <c r="A1790" s="84" t="inlineStr">
        <is>
          <t xml:space="preserve">          "caffeine",</t>
        </is>
      </c>
    </row>
    <row r="1791">
      <c r="A1791" s="84" t="inlineStr">
        <is>
          <t xml:space="preserve">          "wellness",</t>
        </is>
      </c>
    </row>
    <row r="1792">
      <c r="A1792" s="84" t="inlineStr">
        <is>
          <t xml:space="preserve">          "how-to"</t>
        </is>
      </c>
    </row>
    <row r="1793">
      <c r="A1793" s="84" t="inlineStr">
        <is>
          <t xml:space="preserve">        ]</t>
        </is>
      </c>
    </row>
    <row r="1794">
      <c r="A1794" s="84" t="inlineStr">
        <is>
          <t xml:space="preserve">      },</t>
        </is>
      </c>
    </row>
    <row r="1795">
      <c r="A1795" s="84" t="inlineStr">
        <is>
          <t xml:space="preserve">      {</t>
        </is>
      </c>
    </row>
    <row r="1796">
      <c r="A1796" s="84" t="inlineStr">
        <is>
          <t xml:space="preserve">        "title": "A Realistic Wind-Down for Bad Sleepers",</t>
        </is>
      </c>
    </row>
    <row r="1797">
      <c r="A1797" s="84" t="inlineStr">
        <is>
          <t xml:space="preserve">        "daysAgo": 30,</t>
        </is>
      </c>
    </row>
    <row r="1798">
      <c r="A1798" s="84" t="inlineStr">
        <is>
          <t xml:space="preserve">        "views": 18000,</t>
        </is>
      </c>
    </row>
    <row r="1799">
      <c r="A1799" s="84" t="inlineStr">
        <is>
          <t xml:space="preserve">        "likes": 1270,</t>
        </is>
      </c>
    </row>
    <row r="1800">
      <c r="A1800" s="84" t="inlineStr">
        <is>
          <t xml:space="preserve">        "comments": 140,</t>
        </is>
      </c>
    </row>
    <row r="1801">
      <c r="A1801" s="84" t="inlineStr">
        <is>
          <t xml:space="preserve">        "hadSponsor": true,</t>
        </is>
      </c>
    </row>
    <row r="1802">
      <c r="A1802" s="84" t="inlineStr">
        <is>
          <t xml:space="preserve">        "topicTags": [</t>
        </is>
      </c>
    </row>
    <row r="1803">
      <c r="A1803" s="84" t="inlineStr">
        <is>
          <t xml:space="preserve">          "sleep",</t>
        </is>
      </c>
    </row>
    <row r="1804">
      <c r="A1804" s="84" t="inlineStr">
        <is>
          <t xml:space="preserve">          "routine",</t>
        </is>
      </c>
    </row>
    <row r="1805">
      <c r="A1805" s="84" t="inlineStr">
        <is>
          <t xml:space="preserve">          "wellness"</t>
        </is>
      </c>
    </row>
    <row r="1806">
      <c r="A1806" s="84" t="inlineStr">
        <is>
          <t xml:space="preserve">        ]</t>
        </is>
      </c>
    </row>
    <row r="1807">
      <c r="A1807" s="84" t="inlineStr">
        <is>
          <t xml:space="preserve">      }</t>
        </is>
      </c>
    </row>
    <row r="1808">
      <c r="A1808" s="84" t="inlineStr">
        <is>
          <t xml:space="preserve">    ]</t>
        </is>
      </c>
    </row>
    <row r="1809">
      <c r="A1809" s="84" t="inlineStr">
        <is>
          <t xml:space="preserve">  },</t>
        </is>
      </c>
    </row>
    <row r="1810">
      <c r="A1810" s="84" t="inlineStr">
        <is>
          <t xml:space="preserve">  {</t>
        </is>
      </c>
    </row>
    <row r="1811">
      <c r="A1811" s="84" t="inlineStr">
        <is>
          <t xml:space="preserve">    "id": "nikhil-rao",</t>
        </is>
      </c>
    </row>
    <row r="1812">
      <c r="A1812" s="84" t="inlineStr">
        <is>
          <t xml:space="preserve">    "name": "Nikhil Rao",</t>
        </is>
      </c>
    </row>
    <row r="1813">
      <c r="A1813" s="84" t="inlineStr">
        <is>
          <t xml:space="preserve">    "handle": "@nikhilhabits",</t>
        </is>
      </c>
    </row>
    <row r="1814">
      <c r="A1814" s="84" t="inlineStr">
        <is>
          <t xml:space="preserve">    "category": "Health &amp; Lifestyle",</t>
        </is>
      </c>
    </row>
    <row r="1815">
      <c r="A1815" s="84" t="inlineStr">
        <is>
          <t xml:space="preserve">    "tier": "Micro",</t>
        </is>
      </c>
    </row>
    <row r="1816">
      <c r="A1816" s="84" t="inlineStr">
        <is>
          <t xml:space="preserve">    "subscribers": 48000,</t>
        </is>
      </c>
    </row>
    <row r="1817">
      <c r="A1817" s="84" t="inlineStr">
        <is>
          <t xml:space="preserve">    "avgViews": 21000,</t>
        </is>
      </c>
    </row>
    <row r="1818">
      <c r="A1818" s="84" t="inlineStr">
        <is>
          <t xml:space="preserve">    "engagementRate": 0.058,</t>
        </is>
      </c>
    </row>
    <row r="1819">
      <c r="A1819" s="84" t="inlineStr">
        <is>
          <t xml:space="preserve">    "channelVerified": true,</t>
        </is>
      </c>
    </row>
    <row r="1820">
      <c r="A1820" s="84" t="inlineStr">
        <is>
          <t xml:space="preserve">    "safetyScore": 92,</t>
        </is>
      </c>
    </row>
    <row r="1821">
      <c r="A1821" s="84" t="inlineStr">
        <is>
          <t xml:space="preserve">    "audienceAge": "25-34",</t>
        </is>
      </c>
    </row>
    <row r="1822">
      <c r="A1822" s="84" t="inlineStr">
        <is>
          <t xml:space="preserve">    "audienceGender": "55% M",</t>
        </is>
      </c>
    </row>
    <row r="1823">
      <c r="A1823" s="84" t="inlineStr">
        <is>
          <t xml:space="preserve">    "topCountry": "US",</t>
        </is>
      </c>
    </row>
    <row r="1824">
      <c r="A1824" s="84" t="inlineStr">
        <is>
          <t xml:space="preserve">    "uploadCadence": "1 / week",</t>
        </is>
      </c>
    </row>
    <row r="1825">
      <c r="A1825" s="84" t="inlineStr">
        <is>
          <t xml:space="preserve">    "avgLengthMin": 13,</t>
        </is>
      </c>
    </row>
    <row r="1826">
      <c r="A1826" s="84" t="inlineStr">
        <is>
          <t xml:space="preserve">    "rates": {</t>
        </is>
      </c>
    </row>
    <row r="1827">
      <c r="A1827" s="84" t="inlineStr">
        <is>
          <t xml:space="preserve">      "integrated": 770,</t>
        </is>
      </c>
    </row>
    <row r="1828">
      <c r="A1828" s="84" t="inlineStr">
        <is>
          <t xml:space="preserve">      "dedicated": 1640,</t>
        </is>
      </c>
    </row>
    <row r="1829">
      <c r="A1829" s="84" t="inlineStr">
        <is>
          <t xml:space="preserve">      "short": 390</t>
        </is>
      </c>
    </row>
    <row r="1830">
      <c r="A1830" s="84" t="inlineStr">
        <is>
          <t xml:space="preserve">    },</t>
        </is>
      </c>
    </row>
    <row r="1831">
      <c r="A1831" s="84" t="inlineStr">
        <is>
          <t xml:space="preserve">    "avatarInitials": "NR",</t>
        </is>
      </c>
    </row>
    <row r="1832">
      <c r="A1832" s="84" t="inlineStr">
        <is>
          <t xml:space="preserve">    "avatarColor": "#148F77",</t>
        </is>
      </c>
    </row>
    <row r="1833">
      <c r="A1833" s="84" t="inlineStr">
        <is>
          <t xml:space="preserve">    "bio": "Behavior-change and habit systems that survive a busy week.",</t>
        </is>
      </c>
    </row>
    <row r="1834">
      <c r="A1834" s="84" t="inlineStr">
        <is>
          <t xml:space="preserve">    "languages": [</t>
        </is>
      </c>
    </row>
    <row r="1835">
      <c r="A1835" s="84" t="inlineStr">
        <is>
          <t xml:space="preserve">      "English",</t>
        </is>
      </c>
    </row>
    <row r="1836">
      <c r="A1836" s="84" t="inlineStr">
        <is>
          <t xml:space="preserve">      "Hindi"</t>
        </is>
      </c>
    </row>
    <row r="1837">
      <c r="A1837" s="84" t="inlineStr">
        <is>
          <t xml:space="preserve">    ],</t>
        </is>
      </c>
    </row>
    <row r="1838">
      <c r="A1838" s="84" t="inlineStr">
        <is>
          <t xml:space="preserve">    "formatsOffered": [</t>
        </is>
      </c>
    </row>
    <row r="1839">
      <c r="A1839" s="84" t="inlineStr">
        <is>
          <t xml:space="preserve">      "Integrated",</t>
        </is>
      </c>
    </row>
    <row r="1840">
      <c r="A1840" s="84" t="inlineStr">
        <is>
          <t xml:space="preserve">      "Dedicated",</t>
        </is>
      </c>
    </row>
    <row r="1841">
      <c r="A1841" s="84" t="inlineStr">
        <is>
          <t xml:space="preserve">      "Short"</t>
        </is>
      </c>
    </row>
    <row r="1842">
      <c r="A1842" s="84" t="inlineStr">
        <is>
          <t xml:space="preserve">    ],</t>
        </is>
      </c>
    </row>
    <row r="1843">
      <c r="A1843" s="84" t="inlineStr">
        <is>
          <t xml:space="preserve">    "turnaroundDays": 10,</t>
        </is>
      </c>
    </row>
    <row r="1844">
      <c r="A1844" s="84" t="inlineStr">
        <is>
          <t xml:space="preserve">    "workedWith": [</t>
        </is>
      </c>
    </row>
    <row r="1845">
      <c r="A1845" s="84" t="inlineStr">
        <is>
          <t xml:space="preserve">      "Wellness",</t>
        </is>
      </c>
    </row>
    <row r="1846">
      <c r="A1846" s="84" t="inlineStr">
        <is>
          <t xml:space="preserve">      "Productivity"</t>
        </is>
      </c>
    </row>
    <row r="1847">
      <c r="A1847" s="84" t="inlineStr">
        <is>
          <t xml:space="preserve">    ],</t>
        </is>
      </c>
    </row>
    <row r="1848">
      <c r="A1848" s="84" t="inlineStr">
        <is>
          <t xml:space="preserve">    "recentVideos": [</t>
        </is>
      </c>
    </row>
    <row r="1849">
      <c r="A1849" s="84" t="inlineStr">
        <is>
          <t xml:space="preserve">      {</t>
        </is>
      </c>
    </row>
    <row r="1850">
      <c r="A1850" s="84" t="inlineStr">
        <is>
          <t xml:space="preserve">        "title": "Supplements I Stopped Wasting Money On",</t>
        </is>
      </c>
    </row>
    <row r="1851">
      <c r="A1851" s="84" t="inlineStr">
        <is>
          <t xml:space="preserve">        "daysAgo": 7,</t>
        </is>
      </c>
    </row>
    <row r="1852">
      <c r="A1852" s="84" t="inlineStr">
        <is>
          <t xml:space="preserve">        "views": 26000,</t>
        </is>
      </c>
    </row>
    <row r="1853">
      <c r="A1853" s="84" t="inlineStr">
        <is>
          <t xml:space="preserve">        "likes": 1380,</t>
        </is>
      </c>
    </row>
    <row r="1854">
      <c r="A1854" s="84" t="inlineStr">
        <is>
          <t xml:space="preserve">        "comments": 155,</t>
        </is>
      </c>
    </row>
    <row r="1855">
      <c r="A1855" s="84" t="inlineStr">
        <is>
          <t xml:space="preserve">        "hadSponsor": true,</t>
        </is>
      </c>
    </row>
    <row r="1856">
      <c r="A1856" s="84" t="inlineStr">
        <is>
          <t xml:space="preserve">        "topicTags": [</t>
        </is>
      </c>
    </row>
    <row r="1857">
      <c r="A1857" s="84" t="inlineStr">
        <is>
          <t xml:space="preserve">          "supplements",</t>
        </is>
      </c>
    </row>
    <row r="1858">
      <c r="A1858" s="84" t="inlineStr">
        <is>
          <t xml:space="preserve">          "value",</t>
        </is>
      </c>
    </row>
    <row r="1859">
      <c r="A1859" s="84" t="inlineStr">
        <is>
          <t xml:space="preserve">          "wellness"</t>
        </is>
      </c>
    </row>
    <row r="1860">
      <c r="A1860" s="84" t="inlineStr">
        <is>
          <t xml:space="preserve">        ]</t>
        </is>
      </c>
    </row>
    <row r="1861">
      <c r="A1861" s="84" t="inlineStr">
        <is>
          <t xml:space="preserve">      },</t>
        </is>
      </c>
    </row>
    <row r="1862">
      <c r="A1862" s="84" t="inlineStr">
        <is>
          <t xml:space="preserve">      {</t>
        </is>
      </c>
    </row>
    <row r="1863">
      <c r="A1863" s="84" t="inlineStr">
        <is>
          <t xml:space="preserve">        "title": "My Actual Morning Routine (No 5am)",</t>
        </is>
      </c>
    </row>
    <row r="1864">
      <c r="A1864" s="84" t="inlineStr">
        <is>
          <t xml:space="preserve">        "daysAgo": 17,</t>
        </is>
      </c>
    </row>
    <row r="1865">
      <c r="A1865" s="84" t="inlineStr">
        <is>
          <t xml:space="preserve">        "views": 19000,</t>
        </is>
      </c>
    </row>
    <row r="1866">
      <c r="A1866" s="84" t="inlineStr">
        <is>
          <t xml:space="preserve">        "likes": 960,</t>
        </is>
      </c>
    </row>
    <row r="1867">
      <c r="A1867" s="84" t="inlineStr">
        <is>
          <t xml:space="preserve">        "comments": 105,</t>
        </is>
      </c>
    </row>
    <row r="1868">
      <c r="A1868" s="84" t="inlineStr">
        <is>
          <t xml:space="preserve">        "hadSponsor": false,</t>
        </is>
      </c>
    </row>
    <row r="1869">
      <c r="A1869" s="84" t="inlineStr">
        <is>
          <t xml:space="preserve">        "topicTags": [</t>
        </is>
      </c>
    </row>
    <row r="1870">
      <c r="A1870" s="84" t="inlineStr">
        <is>
          <t xml:space="preserve">          "routine",</t>
        </is>
      </c>
    </row>
    <row r="1871">
      <c r="A1871" s="84" t="inlineStr">
        <is>
          <t xml:space="preserve">          "morning",</t>
        </is>
      </c>
    </row>
    <row r="1872">
      <c r="A1872" s="84" t="inlineStr">
        <is>
          <t xml:space="preserve">          "realistic"</t>
        </is>
      </c>
    </row>
    <row r="1873">
      <c r="A1873" s="84" t="inlineStr">
        <is>
          <t xml:space="preserve">        ]</t>
        </is>
      </c>
    </row>
    <row r="1874">
      <c r="A1874" s="84" t="inlineStr">
        <is>
          <t xml:space="preserve">      },</t>
        </is>
      </c>
    </row>
    <row r="1875">
      <c r="A1875" s="84" t="inlineStr">
        <is>
          <t xml:space="preserve">      {</t>
        </is>
      </c>
    </row>
    <row r="1876">
      <c r="A1876" s="84" t="inlineStr">
        <is>
          <t xml:space="preserve">        "title": "What I Eat in a Week, Honestly",</t>
        </is>
      </c>
    </row>
    <row r="1877">
      <c r="A1877" s="84" t="inlineStr">
        <is>
          <t xml:space="preserve">        "daysAgo": 26,</t>
        </is>
      </c>
    </row>
    <row r="1878">
      <c r="A1878" s="84" t="inlineStr">
        <is>
          <t xml:space="preserve">        "views": 22000,</t>
        </is>
      </c>
    </row>
    <row r="1879">
      <c r="A1879" s="84" t="inlineStr">
        <is>
          <t xml:space="preserve">        "likes": 1150,</t>
        </is>
      </c>
    </row>
    <row r="1880">
      <c r="A1880" s="84" t="inlineStr">
        <is>
          <t xml:space="preserve">        "comments": 130,</t>
        </is>
      </c>
    </row>
    <row r="1881">
      <c r="A1881" s="84" t="inlineStr">
        <is>
          <t xml:space="preserve">        "hadSponsor": false,</t>
        </is>
      </c>
    </row>
    <row r="1882">
      <c r="A1882" s="84" t="inlineStr">
        <is>
          <t xml:space="preserve">        "topicTags": [</t>
        </is>
      </c>
    </row>
    <row r="1883">
      <c r="A1883" s="84" t="inlineStr">
        <is>
          <t xml:space="preserve">          "nutrition",</t>
        </is>
      </c>
    </row>
    <row r="1884">
      <c r="A1884" s="84" t="inlineStr">
        <is>
          <t xml:space="preserve">          "realistic",</t>
        </is>
      </c>
    </row>
    <row r="1885">
      <c r="A1885" s="84" t="inlineStr">
        <is>
          <t xml:space="preserve">          "week"</t>
        </is>
      </c>
    </row>
    <row r="1886">
      <c r="A1886" s="84" t="inlineStr">
        <is>
          <t xml:space="preserve">        ]</t>
        </is>
      </c>
    </row>
    <row r="1887">
      <c r="A1887" s="84" t="inlineStr">
        <is>
          <t xml:space="preserve">      }</t>
        </is>
      </c>
    </row>
    <row r="1888">
      <c r="A1888" s="84" t="inlineStr">
        <is>
          <t xml:space="preserve">    ]</t>
        </is>
      </c>
    </row>
    <row r="1889">
      <c r="A1889" s="84" t="inlineStr">
        <is>
          <t xml:space="preserve">  },</t>
        </is>
      </c>
    </row>
    <row r="1890">
      <c r="A1890" s="84" t="inlineStr">
        <is>
          <t xml:space="preserve">  {</t>
        </is>
      </c>
    </row>
    <row r="1891">
      <c r="A1891" s="84" t="inlineStr">
        <is>
          <t xml:space="preserve">    "id": "meera-kapoor",</t>
        </is>
      </c>
    </row>
    <row r="1892">
      <c r="A1892" s="84" t="inlineStr">
        <is>
          <t xml:space="preserve">    "name": "Meera Kapoor",</t>
        </is>
      </c>
    </row>
    <row r="1893">
      <c r="A1893" s="84" t="inlineStr">
        <is>
          <t xml:space="preserve">    "handle": "@meeramindful",</t>
        </is>
      </c>
    </row>
    <row r="1894">
      <c r="A1894" s="84" t="inlineStr">
        <is>
          <t xml:space="preserve">    "category": "Health &amp; Lifestyle",</t>
        </is>
      </c>
    </row>
    <row r="1895">
      <c r="A1895" s="84" t="inlineStr">
        <is>
          <t xml:space="preserve">    "tier": "Nano",</t>
        </is>
      </c>
    </row>
    <row r="1896">
      <c r="A1896" s="84" t="inlineStr">
        <is>
          <t xml:space="preserve">    "subscribers": 7200,</t>
        </is>
      </c>
    </row>
    <row r="1897">
      <c r="A1897" s="84" t="inlineStr">
        <is>
          <t xml:space="preserve">    "avgViews": 4000,</t>
        </is>
      </c>
    </row>
    <row r="1898">
      <c r="A1898" s="84" t="inlineStr">
        <is>
          <t xml:space="preserve">    "engagementRate": 0.113,</t>
        </is>
      </c>
    </row>
    <row r="1899">
      <c r="A1899" s="84" t="inlineStr">
        <is>
          <t xml:space="preserve">    "channelVerified": false,</t>
        </is>
      </c>
    </row>
    <row r="1900">
      <c r="A1900" s="84" t="inlineStr">
        <is>
          <t xml:space="preserve">    "safetyScore": 98,</t>
        </is>
      </c>
    </row>
    <row r="1901">
      <c r="A1901" s="84" t="inlineStr">
        <is>
          <t xml:space="preserve">    "audienceAge": "25-34",</t>
        </is>
      </c>
    </row>
    <row r="1902">
      <c r="A1902" s="84" t="inlineStr">
        <is>
          <t xml:space="preserve">    "audienceGender": "81% F",</t>
        </is>
      </c>
    </row>
    <row r="1903">
      <c r="A1903" s="84" t="inlineStr">
        <is>
          <t xml:space="preserve">    "topCountry": "IN",</t>
        </is>
      </c>
    </row>
    <row r="1904">
      <c r="A1904" s="84" t="inlineStr">
        <is>
          <t xml:space="preserve">    "uploadCadence": "2 / week",</t>
        </is>
      </c>
    </row>
    <row r="1905">
      <c r="A1905" s="84" t="inlineStr">
        <is>
          <t xml:space="preserve">    "avgLengthMin": 9,</t>
        </is>
      </c>
    </row>
    <row r="1906">
      <c r="A1906" s="84" t="inlineStr">
        <is>
          <t xml:space="preserve">    "rates": {</t>
        </is>
      </c>
    </row>
    <row r="1907">
      <c r="A1907" s="84" t="inlineStr">
        <is>
          <t xml:space="preserve">      "integrated": 190,</t>
        </is>
      </c>
    </row>
    <row r="1908">
      <c r="A1908" s="84" t="inlineStr">
        <is>
          <t xml:space="preserve">      "dedicated": 400,</t>
        </is>
      </c>
    </row>
    <row r="1909">
      <c r="A1909" s="84" t="inlineStr">
        <is>
          <t xml:space="preserve">      "short": 100</t>
        </is>
      </c>
    </row>
    <row r="1910">
      <c r="A1910" s="84" t="inlineStr">
        <is>
          <t xml:space="preserve">    },</t>
        </is>
      </c>
    </row>
    <row r="1911">
      <c r="A1911" s="84" t="inlineStr">
        <is>
          <t xml:space="preserve">    "avatarInitials": "MK",</t>
        </is>
      </c>
    </row>
    <row r="1912">
      <c r="A1912" s="84" t="inlineStr">
        <is>
          <t xml:space="preserve">    "avatarColor": "#0E6655",</t>
        </is>
      </c>
    </row>
    <row r="1913">
      <c r="A1913" s="84" t="inlineStr">
        <is>
          <t xml:space="preserve">    "bio": "Ten-minute mobility and breathwork for desk workers.",</t>
        </is>
      </c>
    </row>
    <row r="1914">
      <c r="A1914" s="84" t="inlineStr">
        <is>
          <t xml:space="preserve">    "languages": [</t>
        </is>
      </c>
    </row>
    <row r="1915">
      <c r="A1915" s="84" t="inlineStr">
        <is>
          <t xml:space="preserve">      "English",</t>
        </is>
      </c>
    </row>
    <row r="1916">
      <c r="A1916" s="84" t="inlineStr">
        <is>
          <t xml:space="preserve">      "Hindi"</t>
        </is>
      </c>
    </row>
    <row r="1917">
      <c r="A1917" s="84" t="inlineStr">
        <is>
          <t xml:space="preserve">    ],</t>
        </is>
      </c>
    </row>
    <row r="1918">
      <c r="A1918" s="84" t="inlineStr">
        <is>
          <t xml:space="preserve">    "formatsOffered": [</t>
        </is>
      </c>
    </row>
    <row r="1919">
      <c r="A1919" s="84" t="inlineStr">
        <is>
          <t xml:space="preserve">      "Integrated",</t>
        </is>
      </c>
    </row>
    <row r="1920">
      <c r="A1920" s="84" t="inlineStr">
        <is>
          <t xml:space="preserve">      "Short"</t>
        </is>
      </c>
    </row>
    <row r="1921">
      <c r="A1921" s="84" t="inlineStr">
        <is>
          <t xml:space="preserve">    ],</t>
        </is>
      </c>
    </row>
    <row r="1922">
      <c r="A1922" s="84" t="inlineStr">
        <is>
          <t xml:space="preserve">    "turnaroundDays": 7,</t>
        </is>
      </c>
    </row>
    <row r="1923">
      <c r="A1923" s="84" t="inlineStr">
        <is>
          <t xml:space="preserve">    "workedWith": [</t>
        </is>
      </c>
    </row>
    <row r="1924">
      <c r="A1924" s="84" t="inlineStr">
        <is>
          <t xml:space="preserve">      "Wellness",</t>
        </is>
      </c>
    </row>
    <row r="1925">
      <c r="A1925" s="84" t="inlineStr">
        <is>
          <t xml:space="preserve">      "Apparel"</t>
        </is>
      </c>
    </row>
    <row r="1926">
      <c r="A1926" s="84" t="inlineStr">
        <is>
          <t xml:space="preserve">    ],</t>
        </is>
      </c>
    </row>
    <row r="1927">
      <c r="A1927" s="84" t="inlineStr">
        <is>
          <t xml:space="preserve">    "recentVideos": [</t>
        </is>
      </c>
    </row>
    <row r="1928">
      <c r="A1928" s="84" t="inlineStr">
        <is>
          <t xml:space="preserve">      {</t>
        </is>
      </c>
    </row>
    <row r="1929">
      <c r="A1929" s="84" t="inlineStr">
        <is>
          <t xml:space="preserve">        "title": "6 Stretches That Fixed My Desk Back",</t>
        </is>
      </c>
    </row>
    <row r="1930">
      <c r="A1930" s="84" t="inlineStr">
        <is>
          <t xml:space="preserve">        "daysAgo": 5,</t>
        </is>
      </c>
    </row>
    <row r="1931">
      <c r="A1931" s="84" t="inlineStr">
        <is>
          <t xml:space="preserve">        "views": 5000,</t>
        </is>
      </c>
    </row>
    <row r="1932">
      <c r="A1932" s="84" t="inlineStr">
        <is>
          <t xml:space="preserve">        "likes": 530,</t>
        </is>
      </c>
    </row>
    <row r="1933">
      <c r="A1933" s="84" t="inlineStr">
        <is>
          <t xml:space="preserve">        "comments": 60,</t>
        </is>
      </c>
    </row>
    <row r="1934">
      <c r="A1934" s="84" t="inlineStr">
        <is>
          <t xml:space="preserve">        "hadSponsor": false,</t>
        </is>
      </c>
    </row>
    <row r="1935">
      <c r="A1935" s="84" t="inlineStr">
        <is>
          <t xml:space="preserve">        "topicTags": [</t>
        </is>
      </c>
    </row>
    <row r="1936">
      <c r="A1936" s="84" t="inlineStr">
        <is>
          <t xml:space="preserve">          "mobility",</t>
        </is>
      </c>
    </row>
    <row r="1937">
      <c r="A1937" s="84" t="inlineStr">
        <is>
          <t xml:space="preserve">          "desk-health",</t>
        </is>
      </c>
    </row>
    <row r="1938">
      <c r="A1938" s="84" t="inlineStr">
        <is>
          <t xml:space="preserve">          "how-to"</t>
        </is>
      </c>
    </row>
    <row r="1939">
      <c r="A1939" s="84" t="inlineStr">
        <is>
          <t xml:space="preserve">        ]</t>
        </is>
      </c>
    </row>
    <row r="1940">
      <c r="A1940" s="84" t="inlineStr">
        <is>
          <t xml:space="preserve">      },</t>
        </is>
      </c>
    </row>
    <row r="1941">
      <c r="A1941" s="84" t="inlineStr">
        <is>
          <t xml:space="preserve">      {</t>
        </is>
      </c>
    </row>
    <row r="1942">
      <c r="A1942" s="84" t="inlineStr">
        <is>
          <t xml:space="preserve">        "title": "The Habit That Changed My Energy",</t>
        </is>
      </c>
    </row>
    <row r="1943">
      <c r="A1943" s="84" t="inlineStr">
        <is>
          <t xml:space="preserve">        "daysAgo": 11,</t>
        </is>
      </c>
    </row>
    <row r="1944">
      <c r="A1944" s="84" t="inlineStr">
        <is>
          <t xml:space="preserve">        "views": 4000,</t>
        </is>
      </c>
    </row>
    <row r="1945">
      <c r="A1945" s="84" t="inlineStr">
        <is>
          <t xml:space="preserve">        "likes": 390,</t>
        </is>
      </c>
    </row>
    <row r="1946">
      <c r="A1946" s="84" t="inlineStr">
        <is>
          <t xml:space="preserve">        "comments": 45,</t>
        </is>
      </c>
    </row>
    <row r="1947">
      <c r="A1947" s="84" t="inlineStr">
        <is>
          <t xml:space="preserve">        "hadSponsor": true,</t>
        </is>
      </c>
    </row>
    <row r="1948">
      <c r="A1948" s="84" t="inlineStr">
        <is>
          <t xml:space="preserve">        "topicTags": [</t>
        </is>
      </c>
    </row>
    <row r="1949">
      <c r="A1949" s="84" t="inlineStr">
        <is>
          <t xml:space="preserve">          "habits",</t>
        </is>
      </c>
    </row>
    <row r="1950">
      <c r="A1950" s="84" t="inlineStr">
        <is>
          <t xml:space="preserve">          "energy",</t>
        </is>
      </c>
    </row>
    <row r="1951">
      <c r="A1951" s="84" t="inlineStr">
        <is>
          <t xml:space="preserve">          "systems"</t>
        </is>
      </c>
    </row>
    <row r="1952">
      <c r="A1952" s="84" t="inlineStr">
        <is>
          <t xml:space="preserve">        ]</t>
        </is>
      </c>
    </row>
    <row r="1953">
      <c r="A1953" s="84" t="inlineStr">
        <is>
          <t xml:space="preserve">      },</t>
        </is>
      </c>
    </row>
    <row r="1954">
      <c r="A1954" s="84" t="inlineStr">
        <is>
          <t xml:space="preserve">      {</t>
        </is>
      </c>
    </row>
    <row r="1955">
      <c r="A1955" s="84" t="inlineStr">
        <is>
          <t xml:space="preserve">        "title": "I Tried Cold Showers for 30 Days",</t>
        </is>
      </c>
    </row>
    <row r="1956">
      <c r="A1956" s="84" t="inlineStr">
        <is>
          <t xml:space="preserve">        "daysAgo": 22,</t>
        </is>
      </c>
    </row>
    <row r="1957">
      <c r="A1957" s="84" t="inlineStr">
        <is>
          <t xml:space="preserve">        "views": 4000,</t>
        </is>
      </c>
    </row>
    <row r="1958">
      <c r="A1958" s="84" t="inlineStr">
        <is>
          <t xml:space="preserve">        "likes": 410,</t>
        </is>
      </c>
    </row>
    <row r="1959">
      <c r="A1959" s="84" t="inlineStr">
        <is>
          <t xml:space="preserve">        "comments": 45,</t>
        </is>
      </c>
    </row>
    <row r="1960">
      <c r="A1960" s="84" t="inlineStr">
        <is>
          <t xml:space="preserve">        "hadSponsor": true,</t>
        </is>
      </c>
    </row>
    <row r="1961">
      <c r="A1961" s="84" t="inlineStr">
        <is>
          <t xml:space="preserve">        "topicTags": [</t>
        </is>
      </c>
    </row>
    <row r="1962">
      <c r="A1962" s="84" t="inlineStr">
        <is>
          <t xml:space="preserve">          "challenge",</t>
        </is>
      </c>
    </row>
    <row r="1963">
      <c r="A1963" s="84" t="inlineStr">
        <is>
          <t xml:space="preserve">          "wellness",</t>
        </is>
      </c>
    </row>
    <row r="1964">
      <c r="A1964" s="84" t="inlineStr">
        <is>
          <t xml:space="preserve">          "experiment"</t>
        </is>
      </c>
    </row>
    <row r="1965">
      <c r="A1965" s="84" t="inlineStr">
        <is>
          <t xml:space="preserve">        ]</t>
        </is>
      </c>
    </row>
    <row r="1966">
      <c r="A1966" s="84" t="inlineStr">
        <is>
          <t xml:space="preserve">      }</t>
        </is>
      </c>
    </row>
    <row r="1967">
      <c r="A1967" s="84" t="inlineStr">
        <is>
          <t xml:space="preserve">    ]</t>
        </is>
      </c>
    </row>
    <row r="1968">
      <c r="A1968" s="84" t="inlineStr">
        <is>
          <t xml:space="preserve">  },</t>
        </is>
      </c>
    </row>
    <row r="1969">
      <c r="A1969" s="84" t="inlineStr">
        <is>
          <t xml:space="preserve">  {</t>
        </is>
      </c>
    </row>
    <row r="1970">
      <c r="A1970" s="84" t="inlineStr">
        <is>
          <t xml:space="preserve">    "id": "grace-adeyemi",</t>
        </is>
      </c>
    </row>
    <row r="1971">
      <c r="A1971" s="84" t="inlineStr">
        <is>
          <t xml:space="preserve">    "name": "Grace Adeyemi",</t>
        </is>
      </c>
    </row>
    <row r="1972">
      <c r="A1972" s="84" t="inlineStr">
        <is>
          <t xml:space="preserve">    "handle": "@gracewithkids",</t>
        </is>
      </c>
    </row>
    <row r="1973">
      <c r="A1973" s="84" t="inlineStr">
        <is>
          <t xml:space="preserve">    "category": "Parenting &amp; Family",</t>
        </is>
      </c>
    </row>
    <row r="1974">
      <c r="A1974" s="84" t="inlineStr">
        <is>
          <t xml:space="preserve">    "tier": "Micro",</t>
        </is>
      </c>
    </row>
    <row r="1975">
      <c r="A1975" s="84" t="inlineStr">
        <is>
          <t xml:space="preserve">    "subscribers": 41000,</t>
        </is>
      </c>
    </row>
    <row r="1976">
      <c r="A1976" s="84" t="inlineStr">
        <is>
          <t xml:space="preserve">    "avgViews": 20000,</t>
        </is>
      </c>
    </row>
    <row r="1977">
      <c r="A1977" s="84" t="inlineStr">
        <is>
          <t xml:space="preserve">    "engagementRate": 0.071,</t>
        </is>
      </c>
    </row>
    <row r="1978">
      <c r="A1978" s="84" t="inlineStr">
        <is>
          <t xml:space="preserve">    "channelVerified": true,</t>
        </is>
      </c>
    </row>
    <row r="1979">
      <c r="A1979" s="84" t="inlineStr">
        <is>
          <t xml:space="preserve">    "safetyScore": 96,</t>
        </is>
      </c>
    </row>
    <row r="1980">
      <c r="A1980" s="84" t="inlineStr">
        <is>
          <t xml:space="preserve">    "audienceAge": "30-44",</t>
        </is>
      </c>
    </row>
    <row r="1981">
      <c r="A1981" s="84" t="inlineStr">
        <is>
          <t xml:space="preserve">    "audienceGender": "83% F",</t>
        </is>
      </c>
    </row>
    <row r="1982">
      <c r="A1982" s="84" t="inlineStr">
        <is>
          <t xml:space="preserve">    "topCountry": "US",</t>
        </is>
      </c>
    </row>
    <row r="1983">
      <c r="A1983" s="84" t="inlineStr">
        <is>
          <t xml:space="preserve">    "uploadCadence": "2 / week",</t>
        </is>
      </c>
    </row>
    <row r="1984">
      <c r="A1984" s="84" t="inlineStr">
        <is>
          <t xml:space="preserve">    "avgLengthMin": 12,</t>
        </is>
      </c>
    </row>
    <row r="1985">
      <c r="A1985" s="84" t="inlineStr">
        <is>
          <t xml:space="preserve">    "rates": {</t>
        </is>
      </c>
    </row>
    <row r="1986">
      <c r="A1986" s="84" t="inlineStr">
        <is>
          <t xml:space="preserve">      "integrated": 730,</t>
        </is>
      </c>
    </row>
    <row r="1987">
      <c r="A1987" s="84" t="inlineStr">
        <is>
          <t xml:space="preserve">      "dedicated": 1560,</t>
        </is>
      </c>
    </row>
    <row r="1988">
      <c r="A1988" s="84" t="inlineStr">
        <is>
          <t xml:space="preserve">      "short": 370</t>
        </is>
      </c>
    </row>
    <row r="1989">
      <c r="A1989" s="84" t="inlineStr">
        <is>
          <t xml:space="preserve">    },</t>
        </is>
      </c>
    </row>
    <row r="1990">
      <c r="A1990" s="84" t="inlineStr">
        <is>
          <t xml:space="preserve">    "avatarInitials": "GA",</t>
        </is>
      </c>
    </row>
    <row r="1991">
      <c r="A1991" s="84" t="inlineStr">
        <is>
          <t xml:space="preserve">    "avatarColor": "#C0392B",</t>
        </is>
      </c>
    </row>
    <row r="1992">
      <c r="A1992" s="84" t="inlineStr">
        <is>
          <t xml:space="preserve">    "bio": "Weeknight family logistics: meals, routines and mess, done honestly.",</t>
        </is>
      </c>
    </row>
    <row r="1993">
      <c r="A1993" s="84" t="inlineStr">
        <is>
          <t xml:space="preserve">    "languages": [</t>
        </is>
      </c>
    </row>
    <row r="1994">
      <c r="A1994" s="84" t="inlineStr">
        <is>
          <t xml:space="preserve">      "English"</t>
        </is>
      </c>
    </row>
    <row r="1995">
      <c r="A1995" s="84" t="inlineStr">
        <is>
          <t xml:space="preserve">    ],</t>
        </is>
      </c>
    </row>
    <row r="1996">
      <c r="A1996" s="84" t="inlineStr">
        <is>
          <t xml:space="preserve">    "formatsOffered": [</t>
        </is>
      </c>
    </row>
    <row r="1997">
      <c r="A1997" s="84" t="inlineStr">
        <is>
          <t xml:space="preserve">      "Integrated",</t>
        </is>
      </c>
    </row>
    <row r="1998">
      <c r="A1998" s="84" t="inlineStr">
        <is>
          <t xml:space="preserve">      "Dedicated",</t>
        </is>
      </c>
    </row>
    <row r="1999">
      <c r="A1999" s="84" t="inlineStr">
        <is>
          <t xml:space="preserve">      "Short"</t>
        </is>
      </c>
    </row>
    <row r="2000">
      <c r="A2000" s="84" t="inlineStr">
        <is>
          <t xml:space="preserve">    ],</t>
        </is>
      </c>
    </row>
    <row r="2001">
      <c r="A2001" s="84" t="inlineStr">
        <is>
          <t xml:space="preserve">    "turnaroundDays": 11,</t>
        </is>
      </c>
    </row>
    <row r="2002">
      <c r="A2002" s="84" t="inlineStr">
        <is>
          <t xml:space="preserve">    "workedWith": [</t>
        </is>
      </c>
    </row>
    <row r="2003">
      <c r="A2003" s="84" t="inlineStr">
        <is>
          <t xml:space="preserve">      "Parenting &amp; Family",</t>
        </is>
      </c>
    </row>
    <row r="2004">
      <c r="A2004" s="84" t="inlineStr">
        <is>
          <t xml:space="preserve">      "Grocery"</t>
        </is>
      </c>
    </row>
    <row r="2005">
      <c r="A2005" s="84" t="inlineStr">
        <is>
          <t xml:space="preserve">    ],</t>
        </is>
      </c>
    </row>
    <row r="2006">
      <c r="A2006" s="84" t="inlineStr">
        <is>
          <t xml:space="preserve">    "recentVideos": [</t>
        </is>
      </c>
    </row>
    <row r="2007">
      <c r="A2007" s="84" t="inlineStr">
        <is>
          <t xml:space="preserve">      {</t>
        </is>
      </c>
    </row>
    <row r="2008">
      <c r="A2008" s="84" t="inlineStr">
        <is>
          <t xml:space="preserve">        "title": "Gear We Regret Buying (and What We Use)",</t>
        </is>
      </c>
    </row>
    <row r="2009">
      <c r="A2009" s="84" t="inlineStr">
        <is>
          <t xml:space="preserve">        "daysAgo": 8,</t>
        </is>
      </c>
    </row>
    <row r="2010">
      <c r="A2010" s="84" t="inlineStr">
        <is>
          <t xml:space="preserve">        "views": 25000,</t>
        </is>
      </c>
    </row>
    <row r="2011">
      <c r="A2011" s="84" t="inlineStr">
        <is>
          <t xml:space="preserve">        "likes": 1550,</t>
        </is>
      </c>
    </row>
    <row r="2012">
      <c r="A2012" s="84" t="inlineStr">
        <is>
          <t xml:space="preserve">        "comments": 170,</t>
        </is>
      </c>
    </row>
    <row r="2013">
      <c r="A2013" s="84" t="inlineStr">
        <is>
          <t xml:space="preserve">        "hadSponsor": false,</t>
        </is>
      </c>
    </row>
    <row r="2014">
      <c r="A2014" s="84" t="inlineStr">
        <is>
          <t xml:space="preserve">        "topicTags": [</t>
        </is>
      </c>
    </row>
    <row r="2015">
      <c r="A2015" s="84" t="inlineStr">
        <is>
          <t xml:space="preserve">          "gear",</t>
        </is>
      </c>
    </row>
    <row r="2016">
      <c r="A2016" s="84" t="inlineStr">
        <is>
          <t xml:space="preserve">          "review",</t>
        </is>
      </c>
    </row>
    <row r="2017">
      <c r="A2017" s="84" t="inlineStr">
        <is>
          <t xml:space="preserve">          "honest"</t>
        </is>
      </c>
    </row>
    <row r="2018">
      <c r="A2018" s="84" t="inlineStr">
        <is>
          <t xml:space="preserve">        ]</t>
        </is>
      </c>
    </row>
    <row r="2019">
      <c r="A2019" s="84" t="inlineStr">
        <is>
          <t xml:space="preserve">      },</t>
        </is>
      </c>
    </row>
    <row r="2020">
      <c r="A2020" s="84" t="inlineStr">
        <is>
          <t xml:space="preserve">      {</t>
        </is>
      </c>
    </row>
    <row r="2021">
      <c r="A2021" s="84" t="inlineStr">
        <is>
          <t xml:space="preserve">        "title": "Getting Out the Door Without Yelling",</t>
        </is>
      </c>
    </row>
    <row r="2022">
      <c r="A2022" s="84" t="inlineStr">
        <is>
          <t xml:space="preserve">        "daysAgo": 15,</t>
        </is>
      </c>
    </row>
    <row r="2023">
      <c r="A2023" s="84" t="inlineStr">
        <is>
          <t xml:space="preserve">        "views": 18000,</t>
        </is>
      </c>
    </row>
    <row r="2024">
      <c r="A2024" s="84" t="inlineStr">
        <is>
          <t xml:space="preserve">        "likes": 1180,</t>
        </is>
      </c>
    </row>
    <row r="2025">
      <c r="A2025" s="84" t="inlineStr">
        <is>
          <t xml:space="preserve">        "comments": 130,</t>
        </is>
      </c>
    </row>
    <row r="2026">
      <c r="A2026" s="84" t="inlineStr">
        <is>
          <t xml:space="preserve">        "hadSponsor": false,</t>
        </is>
      </c>
    </row>
    <row r="2027">
      <c r="A2027" s="84" t="inlineStr">
        <is>
          <t xml:space="preserve">        "topicTags": [</t>
        </is>
      </c>
    </row>
    <row r="2028">
      <c r="A2028" s="84" t="inlineStr">
        <is>
          <t xml:space="preserve">          "routine",</t>
        </is>
      </c>
    </row>
    <row r="2029">
      <c r="A2029" s="84" t="inlineStr">
        <is>
          <t xml:space="preserve">          "morning",</t>
        </is>
      </c>
    </row>
    <row r="2030">
      <c r="A2030" s="84" t="inlineStr">
        <is>
          <t xml:space="preserve">          "family"</t>
        </is>
      </c>
    </row>
    <row r="2031">
      <c r="A2031" s="84" t="inlineStr">
        <is>
          <t xml:space="preserve">        ]</t>
        </is>
      </c>
    </row>
    <row r="2032">
      <c r="A2032" s="84" t="inlineStr">
        <is>
          <t xml:space="preserve">      },</t>
        </is>
      </c>
    </row>
    <row r="2033">
      <c r="A2033" s="84" t="inlineStr">
        <is>
          <t xml:space="preserve">      {</t>
        </is>
      </c>
    </row>
    <row r="2034">
      <c r="A2034" s="84" t="inlineStr">
        <is>
          <t xml:space="preserve">        "title": "A Realistic Family Grocery Haul",</t>
        </is>
      </c>
    </row>
    <row r="2035">
      <c r="A2035" s="84" t="inlineStr">
        <is>
          <t xml:space="preserve">        "daysAgo": 29,</t>
        </is>
      </c>
    </row>
    <row r="2036">
      <c r="A2036" s="84" t="inlineStr">
        <is>
          <t xml:space="preserve">        "views": 21000,</t>
        </is>
      </c>
    </row>
    <row r="2037">
      <c r="A2037" s="84" t="inlineStr">
        <is>
          <t xml:space="preserve">        "likes": 1430,</t>
        </is>
      </c>
    </row>
    <row r="2038">
      <c r="A2038" s="84" t="inlineStr">
        <is>
          <t xml:space="preserve">        "comments": 160,</t>
        </is>
      </c>
    </row>
    <row r="2039">
      <c r="A2039" s="84" t="inlineStr">
        <is>
          <t xml:space="preserve">        "hadSponsor": false,</t>
        </is>
      </c>
    </row>
    <row r="2040">
      <c r="A2040" s="84" t="inlineStr">
        <is>
          <t xml:space="preserve">        "topicTags": [</t>
        </is>
      </c>
    </row>
    <row r="2041">
      <c r="A2041" s="84" t="inlineStr">
        <is>
          <t xml:space="preserve">          "grocery",</t>
        </is>
      </c>
    </row>
    <row r="2042">
      <c r="A2042" s="84" t="inlineStr">
        <is>
          <t xml:space="preserve">          "budget",</t>
        </is>
      </c>
    </row>
    <row r="2043">
      <c r="A2043" s="84" t="inlineStr">
        <is>
          <t xml:space="preserve">          "family"</t>
        </is>
      </c>
    </row>
    <row r="2044">
      <c r="A2044" s="84" t="inlineStr">
        <is>
          <t xml:space="preserve">        ]</t>
        </is>
      </c>
    </row>
    <row r="2045">
      <c r="A2045" s="84" t="inlineStr">
        <is>
          <t xml:space="preserve">      }</t>
        </is>
      </c>
    </row>
    <row r="2046">
      <c r="A2046" s="84" t="inlineStr">
        <is>
          <t xml:space="preserve">    ]</t>
        </is>
      </c>
    </row>
    <row r="2047">
      <c r="A2047" s="84" t="inlineStr">
        <is>
          <t xml:space="preserve">  },</t>
        </is>
      </c>
    </row>
    <row r="2048">
      <c r="A2048" s="84" t="inlineStr">
        <is>
          <t xml:space="preserve">  {</t>
        </is>
      </c>
    </row>
    <row r="2049">
      <c r="A2049" s="84" t="inlineStr">
        <is>
          <t xml:space="preserve">    "id": "owen-park",</t>
        </is>
      </c>
    </row>
    <row r="2050">
      <c r="A2050" s="84" t="inlineStr">
        <is>
          <t xml:space="preserve">    "name": "Owen Park",</t>
        </is>
      </c>
    </row>
    <row r="2051">
      <c r="A2051" s="84" t="inlineStr">
        <is>
          <t xml:space="preserve">    "handle": "@owendadmode",</t>
        </is>
      </c>
    </row>
    <row r="2052">
      <c r="A2052" s="84" t="inlineStr">
        <is>
          <t xml:space="preserve">    "category": "Parenting &amp; Family",</t>
        </is>
      </c>
    </row>
    <row r="2053">
      <c r="A2053" s="84" t="inlineStr">
        <is>
          <t xml:space="preserve">    "tier": "Nano",</t>
        </is>
      </c>
    </row>
    <row r="2054">
      <c r="A2054" s="84" t="inlineStr">
        <is>
          <t xml:space="preserve">    "subscribers": 6100,</t>
        </is>
      </c>
    </row>
    <row r="2055">
      <c r="A2055" s="84" t="inlineStr">
        <is>
          <t xml:space="preserve">    "avgViews": 4000,</t>
        </is>
      </c>
    </row>
    <row r="2056">
      <c r="A2056" s="84" t="inlineStr">
        <is>
          <t xml:space="preserve">    "engagementRate": 0.104,</t>
        </is>
      </c>
    </row>
    <row r="2057">
      <c r="A2057" s="84" t="inlineStr">
        <is>
          <t xml:space="preserve">    "channelVerified": false,</t>
        </is>
      </c>
    </row>
    <row r="2058">
      <c r="A2058" s="84" t="inlineStr">
        <is>
          <t xml:space="preserve">    "safetyScore": 94,</t>
        </is>
      </c>
    </row>
    <row r="2059">
      <c r="A2059" s="84" t="inlineStr">
        <is>
          <t xml:space="preserve">    "audienceAge": "30-44",</t>
        </is>
      </c>
    </row>
    <row r="2060">
      <c r="A2060" s="84" t="inlineStr">
        <is>
          <t xml:space="preserve">    "audienceGender": "51% M",</t>
        </is>
      </c>
    </row>
    <row r="2061">
      <c r="A2061" s="84" t="inlineStr">
        <is>
          <t xml:space="preserve">    "topCountry": "CA",</t>
        </is>
      </c>
    </row>
    <row r="2062">
      <c r="A2062" s="84" t="inlineStr">
        <is>
          <t xml:space="preserve">    "uploadCadence": "1 / week",</t>
        </is>
      </c>
    </row>
    <row r="2063">
      <c r="A2063" s="84" t="inlineStr">
        <is>
          <t xml:space="preserve">    "avgLengthMin": 15,</t>
        </is>
      </c>
    </row>
    <row r="2064">
      <c r="A2064" s="84" t="inlineStr">
        <is>
          <t xml:space="preserve">    "rates": {</t>
        </is>
      </c>
    </row>
    <row r="2065">
      <c r="A2065" s="84" t="inlineStr">
        <is>
          <t xml:space="preserve">      "integrated": 190,</t>
        </is>
      </c>
    </row>
    <row r="2066">
      <c r="A2066" s="84" t="inlineStr">
        <is>
          <t xml:space="preserve">      "dedicated": 400,</t>
        </is>
      </c>
    </row>
    <row r="2067">
      <c r="A2067" s="84" t="inlineStr">
        <is>
          <t xml:space="preserve">      "short": 100</t>
        </is>
      </c>
    </row>
    <row r="2068">
      <c r="A2068" s="84" t="inlineStr">
        <is>
          <t xml:space="preserve">    },</t>
        </is>
      </c>
    </row>
    <row r="2069">
      <c r="A2069" s="84" t="inlineStr">
        <is>
          <t xml:space="preserve">    "avatarInitials": "OP",</t>
        </is>
      </c>
    </row>
    <row r="2070">
      <c r="A2070" s="84" t="inlineStr">
        <is>
          <t xml:space="preserve">    "avatarColor": "#5D6D7E",</t>
        </is>
      </c>
    </row>
    <row r="2071">
      <c r="A2071" s="84" t="inlineStr">
        <is>
          <t xml:space="preserve">    "bio": "A dad figuring out gear, snacks and screen-time in real time.",</t>
        </is>
      </c>
    </row>
    <row r="2072">
      <c r="A2072" s="84" t="inlineStr">
        <is>
          <t xml:space="preserve">    "languages": [</t>
        </is>
      </c>
    </row>
    <row r="2073">
      <c r="A2073" s="84" t="inlineStr">
        <is>
          <t xml:space="preserve">      "English"</t>
        </is>
      </c>
    </row>
    <row r="2074">
      <c r="A2074" s="84" t="inlineStr">
        <is>
          <t xml:space="preserve">    ],</t>
        </is>
      </c>
    </row>
    <row r="2075">
      <c r="A2075" s="84" t="inlineStr">
        <is>
          <t xml:space="preserve">    "formatsOffered": [</t>
        </is>
      </c>
    </row>
    <row r="2076">
      <c r="A2076" s="84" t="inlineStr">
        <is>
          <t xml:space="preserve">      "Integrated",</t>
        </is>
      </c>
    </row>
    <row r="2077">
      <c r="A2077" s="84" t="inlineStr">
        <is>
          <t xml:space="preserve">      "Short"</t>
        </is>
      </c>
    </row>
    <row r="2078">
      <c r="A2078" s="84" t="inlineStr">
        <is>
          <t xml:space="preserve">    ],</t>
        </is>
      </c>
    </row>
    <row r="2079">
      <c r="A2079" s="84" t="inlineStr">
        <is>
          <t xml:space="preserve">    "turnaroundDays": 9,</t>
        </is>
      </c>
    </row>
    <row r="2080">
      <c r="A2080" s="84" t="inlineStr">
        <is>
          <t xml:space="preserve">    "workedWith": [</t>
        </is>
      </c>
    </row>
    <row r="2081">
      <c r="A2081" s="84" t="inlineStr">
        <is>
          <t xml:space="preserve">      "Parenting &amp; Family",</t>
        </is>
      </c>
    </row>
    <row r="2082">
      <c r="A2082" s="84" t="inlineStr">
        <is>
          <t xml:space="preserve">      "Kids Gear"</t>
        </is>
      </c>
    </row>
    <row r="2083">
      <c r="A2083" s="84" t="inlineStr">
        <is>
          <t xml:space="preserve">    ],</t>
        </is>
      </c>
    </row>
    <row r="2084">
      <c r="A2084" s="84" t="inlineStr">
        <is>
          <t xml:space="preserve">    "recentVideos": [</t>
        </is>
      </c>
    </row>
    <row r="2085">
      <c r="A2085" s="84" t="inlineStr">
        <is>
          <t xml:space="preserve">      {</t>
        </is>
      </c>
    </row>
    <row r="2086">
      <c r="A2086" s="84" t="inlineStr">
        <is>
          <t xml:space="preserve">        "title": "Our Weeknight Dinner System With Kids",</t>
        </is>
      </c>
    </row>
    <row r="2087">
      <c r="A2087" s="84" t="inlineStr">
        <is>
          <t xml:space="preserve">        "daysAgo": 3,</t>
        </is>
      </c>
    </row>
    <row r="2088">
      <c r="A2088" s="84" t="inlineStr">
        <is>
          <t xml:space="preserve">        "views": 5000,</t>
        </is>
      </c>
    </row>
    <row r="2089">
      <c r="A2089" s="84" t="inlineStr">
        <is>
          <t xml:space="preserve">        "likes": 490,</t>
        </is>
      </c>
    </row>
    <row r="2090">
      <c r="A2090" s="84" t="inlineStr">
        <is>
          <t xml:space="preserve">        "comments": 55,</t>
        </is>
      </c>
    </row>
    <row r="2091">
      <c r="A2091" s="84" t="inlineStr">
        <is>
          <t xml:space="preserve">        "hadSponsor": false,</t>
        </is>
      </c>
    </row>
    <row r="2092">
      <c r="A2092" s="84" t="inlineStr">
        <is>
          <t xml:space="preserve">        "topicTags": [</t>
        </is>
      </c>
    </row>
    <row r="2093">
      <c r="A2093" s="84" t="inlineStr">
        <is>
          <t xml:space="preserve">          "routine",</t>
        </is>
      </c>
    </row>
    <row r="2094">
      <c r="A2094" s="84" t="inlineStr">
        <is>
          <t xml:space="preserve">          "meals",</t>
        </is>
      </c>
    </row>
    <row r="2095">
      <c r="A2095" s="84" t="inlineStr">
        <is>
          <t xml:space="preserve">          "family"</t>
        </is>
      </c>
    </row>
    <row r="2096">
      <c r="A2096" s="84" t="inlineStr">
        <is>
          <t xml:space="preserve">        ]</t>
        </is>
      </c>
    </row>
    <row r="2097">
      <c r="A2097" s="84" t="inlineStr">
        <is>
          <t xml:space="preserve">      },</t>
        </is>
      </c>
    </row>
    <row r="2098">
      <c r="A2098" s="84" t="inlineStr">
        <is>
          <t xml:space="preserve">      {</t>
        </is>
      </c>
    </row>
    <row r="2099">
      <c r="A2099" s="84" t="inlineStr">
        <is>
          <t xml:space="preserve">        "title": "What's Actually in My Diaper Bag",</t>
        </is>
      </c>
    </row>
    <row r="2100">
      <c r="A2100" s="84" t="inlineStr">
        <is>
          <t xml:space="preserve">        "daysAgo": 14,</t>
        </is>
      </c>
    </row>
    <row r="2101">
      <c r="A2101" s="84" t="inlineStr">
        <is>
          <t xml:space="preserve">        "views": 4000,</t>
        </is>
      </c>
    </row>
    <row r="2102">
      <c r="A2102" s="84" t="inlineStr">
        <is>
          <t xml:space="preserve">        "likes": 360,</t>
        </is>
      </c>
    </row>
    <row r="2103">
      <c r="A2103" s="84" t="inlineStr">
        <is>
          <t xml:space="preserve">        "comments": 40,</t>
        </is>
      </c>
    </row>
    <row r="2104">
      <c r="A2104" s="84" t="inlineStr">
        <is>
          <t xml:space="preserve">        "hadSponsor": false,</t>
        </is>
      </c>
    </row>
    <row r="2105">
      <c r="A2105" s="84" t="inlineStr">
        <is>
          <t xml:space="preserve">        "topicTags": [</t>
        </is>
      </c>
    </row>
    <row r="2106">
      <c r="A2106" s="84" t="inlineStr">
        <is>
          <t xml:space="preserve">          "gear",</t>
        </is>
      </c>
    </row>
    <row r="2107">
      <c r="A2107" s="84" t="inlineStr">
        <is>
          <t xml:space="preserve">          "review",</t>
        </is>
      </c>
    </row>
    <row r="2108">
      <c r="A2108" s="84" t="inlineStr">
        <is>
          <t xml:space="preserve">          "family"</t>
        </is>
      </c>
    </row>
    <row r="2109">
      <c r="A2109" s="84" t="inlineStr">
        <is>
          <t xml:space="preserve">        ]</t>
        </is>
      </c>
    </row>
    <row r="2110">
      <c r="A2110" s="84" t="inlineStr">
        <is>
          <t xml:space="preserve">      },</t>
        </is>
      </c>
    </row>
    <row r="2111">
      <c r="A2111" s="84" t="inlineStr">
        <is>
          <t xml:space="preserve">      {</t>
        </is>
      </c>
    </row>
    <row r="2112">
      <c r="A2112" s="84" t="inlineStr">
        <is>
          <t xml:space="preserve">        "title": "The Toddler Snack Rotation That Works",</t>
        </is>
      </c>
    </row>
    <row r="2113">
      <c r="A2113" s="84" t="inlineStr">
        <is>
          <t xml:space="preserve">        "daysAgo": 30,</t>
        </is>
      </c>
    </row>
    <row r="2114">
      <c r="A2114" s="84" t="inlineStr">
        <is>
          <t xml:space="preserve">        "views": 4000,</t>
        </is>
      </c>
    </row>
    <row r="2115">
      <c r="A2115" s="84" t="inlineStr">
        <is>
          <t xml:space="preserve">        "likes": 370,</t>
        </is>
      </c>
    </row>
    <row r="2116">
      <c r="A2116" s="84" t="inlineStr">
        <is>
          <t xml:space="preserve">        "comments": 40,</t>
        </is>
      </c>
    </row>
    <row r="2117">
      <c r="A2117" s="84" t="inlineStr">
        <is>
          <t xml:space="preserve">        "hadSponsor": false,</t>
        </is>
      </c>
    </row>
    <row r="2118">
      <c r="A2118" s="84" t="inlineStr">
        <is>
          <t xml:space="preserve">        "topicTags": [</t>
        </is>
      </c>
    </row>
    <row r="2119">
      <c r="A2119" s="84" t="inlineStr">
        <is>
          <t xml:space="preserve">          "snacks",</t>
        </is>
      </c>
    </row>
    <row r="2120">
      <c r="A2120" s="84" t="inlineStr">
        <is>
          <t xml:space="preserve">          "food",</t>
        </is>
      </c>
    </row>
    <row r="2121">
      <c r="A2121" s="84" t="inlineStr">
        <is>
          <t xml:space="preserve">          "family"</t>
        </is>
      </c>
    </row>
    <row r="2122">
      <c r="A2122" s="84" t="inlineStr">
        <is>
          <t xml:space="preserve">        ]</t>
        </is>
      </c>
    </row>
    <row r="2123">
      <c r="A2123" s="84" t="inlineStr">
        <is>
          <t xml:space="preserve">      }</t>
        </is>
      </c>
    </row>
    <row r="2124">
      <c r="A2124" s="84" t="inlineStr">
        <is>
          <t xml:space="preserve">    ]</t>
        </is>
      </c>
    </row>
    <row r="2125">
      <c r="A2125" s="84" t="inlineStr">
        <is>
          <t xml:space="preserve">  },</t>
        </is>
      </c>
    </row>
    <row r="2126">
      <c r="A2126" s="84" t="inlineStr">
        <is>
          <t xml:space="preserve">  {</t>
        </is>
      </c>
    </row>
    <row r="2127">
      <c r="A2127" s="84" t="inlineStr">
        <is>
          <t xml:space="preserve">    "id": "tara-nguyen",</t>
        </is>
      </c>
    </row>
    <row r="2128">
      <c r="A2128" s="84" t="inlineStr">
        <is>
          <t xml:space="preserve">    "name": "Tara Nguyen",</t>
        </is>
      </c>
    </row>
    <row r="2129">
      <c r="A2129" s="84" t="inlineStr">
        <is>
          <t xml:space="preserve">    "handle": "@taramoves",</t>
        </is>
      </c>
    </row>
    <row r="2130">
      <c r="A2130" s="84" t="inlineStr">
        <is>
          <t xml:space="preserve">    "category": "Fitness",</t>
        </is>
      </c>
    </row>
    <row r="2131">
      <c r="A2131" s="84" t="inlineStr">
        <is>
          <t xml:space="preserve">    "tier": "Micro",</t>
        </is>
      </c>
    </row>
    <row r="2132">
      <c r="A2132" s="84" t="inlineStr">
        <is>
          <t xml:space="preserve">    "subscribers": 56000,</t>
        </is>
      </c>
    </row>
    <row r="2133">
      <c r="A2133" s="84" t="inlineStr">
        <is>
          <t xml:space="preserve">    "avgViews": 27000,</t>
        </is>
      </c>
    </row>
    <row r="2134">
      <c r="A2134" s="84" t="inlineStr">
        <is>
          <t xml:space="preserve">    "engagementRate": 0.068,</t>
        </is>
      </c>
    </row>
    <row r="2135">
      <c r="A2135" s="84" t="inlineStr">
        <is>
          <t xml:space="preserve">    "channelVerified": true,</t>
        </is>
      </c>
    </row>
    <row r="2136">
      <c r="A2136" s="84" t="inlineStr">
        <is>
          <t xml:space="preserve">    "safetyScore": 93,</t>
        </is>
      </c>
    </row>
    <row r="2137">
      <c r="A2137" s="84" t="inlineStr">
        <is>
          <t xml:space="preserve">    "audienceAge": "18-34",</t>
        </is>
      </c>
    </row>
    <row r="2138">
      <c r="A2138" s="84" t="inlineStr">
        <is>
          <t xml:space="preserve">    "audienceGender": "62% F",</t>
        </is>
      </c>
    </row>
    <row r="2139">
      <c r="A2139" s="84" t="inlineStr">
        <is>
          <t xml:space="preserve">    "topCountry": "US",</t>
        </is>
      </c>
    </row>
    <row r="2140">
      <c r="A2140" s="84" t="inlineStr">
        <is>
          <t xml:space="preserve">    "uploadCadence": "3 / week",</t>
        </is>
      </c>
    </row>
    <row r="2141">
      <c r="A2141" s="84" t="inlineStr">
        <is>
          <t xml:space="preserve">    "avgLengthMin": 8,</t>
        </is>
      </c>
    </row>
    <row r="2142">
      <c r="A2142" s="84" t="inlineStr">
        <is>
          <t xml:space="preserve">    "rates": {</t>
        </is>
      </c>
    </row>
    <row r="2143">
      <c r="A2143" s="84" t="inlineStr">
        <is>
          <t xml:space="preserve">      "integrated": 990,</t>
        </is>
      </c>
    </row>
    <row r="2144">
      <c r="A2144" s="84" t="inlineStr">
        <is>
          <t xml:space="preserve">      "dedicated": 2110,</t>
        </is>
      </c>
    </row>
    <row r="2145">
      <c r="A2145" s="84" t="inlineStr">
        <is>
          <t xml:space="preserve">      "short": 510</t>
        </is>
      </c>
    </row>
    <row r="2146">
      <c r="A2146" s="84" t="inlineStr">
        <is>
          <t xml:space="preserve">    },</t>
        </is>
      </c>
    </row>
    <row r="2147">
      <c r="A2147" s="84" t="inlineStr">
        <is>
          <t xml:space="preserve">    "avatarInitials": "TN",</t>
        </is>
      </c>
    </row>
    <row r="2148">
      <c r="A2148" s="84" t="inlineStr">
        <is>
          <t xml:space="preserve">    "avatarColor": "#16A085",</t>
        </is>
      </c>
    </row>
    <row r="2149">
      <c r="A2149" s="84" t="inlineStr">
        <is>
          <t xml:space="preserve">    "bio": "Beginner strength that meets people where they actually are.",</t>
        </is>
      </c>
    </row>
    <row r="2150">
      <c r="A2150" s="84" t="inlineStr">
        <is>
          <t xml:space="preserve">    "languages": [</t>
        </is>
      </c>
    </row>
    <row r="2151">
      <c r="A2151" s="84" t="inlineStr">
        <is>
          <t xml:space="preserve">      "English",</t>
        </is>
      </c>
    </row>
    <row r="2152">
      <c r="A2152" s="84" t="inlineStr">
        <is>
          <t xml:space="preserve">      "Vietnamese"</t>
        </is>
      </c>
    </row>
    <row r="2153">
      <c r="A2153" s="84" t="inlineStr">
        <is>
          <t xml:space="preserve">    ],</t>
        </is>
      </c>
    </row>
    <row r="2154">
      <c r="A2154" s="84" t="inlineStr">
        <is>
          <t xml:space="preserve">    "formatsOffered": [</t>
        </is>
      </c>
    </row>
    <row r="2155">
      <c r="A2155" s="84" t="inlineStr">
        <is>
          <t xml:space="preserve">      "Integrated",</t>
        </is>
      </c>
    </row>
    <row r="2156">
      <c r="A2156" s="84" t="inlineStr">
        <is>
          <t xml:space="preserve">      "Dedicated",</t>
        </is>
      </c>
    </row>
    <row r="2157">
      <c r="A2157" s="84" t="inlineStr">
        <is>
          <t xml:space="preserve">      "Short"</t>
        </is>
      </c>
    </row>
    <row r="2158">
      <c r="A2158" s="84" t="inlineStr">
        <is>
          <t xml:space="preserve">    ],</t>
        </is>
      </c>
    </row>
    <row r="2159">
      <c r="A2159" s="84" t="inlineStr">
        <is>
          <t xml:space="preserve">    "turnaroundDays": 7,</t>
        </is>
      </c>
    </row>
    <row r="2160">
      <c r="A2160" s="84" t="inlineStr">
        <is>
          <t xml:space="preserve">    "workedWith": [</t>
        </is>
      </c>
    </row>
    <row r="2161">
      <c r="A2161" s="84" t="inlineStr">
        <is>
          <t xml:space="preserve">      "Fitness",</t>
        </is>
      </c>
    </row>
    <row r="2162">
      <c r="A2162" s="84" t="inlineStr">
        <is>
          <t xml:space="preserve">      "Activewear"</t>
        </is>
      </c>
    </row>
    <row r="2163">
      <c r="A2163" s="84" t="inlineStr">
        <is>
          <t xml:space="preserve">    ],</t>
        </is>
      </c>
    </row>
    <row r="2164">
      <c r="A2164" s="84" t="inlineStr">
        <is>
          <t xml:space="preserve">    "recentVideos": [</t>
        </is>
      </c>
    </row>
    <row r="2165">
      <c r="A2165" s="84" t="inlineStr">
        <is>
          <t xml:space="preserve">      {</t>
        </is>
      </c>
    </row>
    <row r="2166">
      <c r="A2166" s="84" t="inlineStr">
        <is>
          <t xml:space="preserve">        "title": "What I Eat to Actually Build Muscle",</t>
        </is>
      </c>
    </row>
    <row r="2167">
      <c r="A2167" s="84" t="inlineStr">
        <is>
          <t xml:space="preserve">        "daysAgo": 4,</t>
        </is>
      </c>
    </row>
    <row r="2168">
      <c r="A2168" s="84" t="inlineStr">
        <is>
          <t xml:space="preserve">        "views": 51000,</t>
        </is>
      </c>
    </row>
    <row r="2169">
      <c r="A2169" s="84" t="inlineStr">
        <is>
          <t xml:space="preserve">        "likes": 3140,</t>
        </is>
      </c>
    </row>
    <row r="2170">
      <c r="A2170" s="84" t="inlineStr">
        <is>
          <t xml:space="preserve">        "comments": 350,</t>
        </is>
      </c>
    </row>
    <row r="2171">
      <c r="A2171" s="84" t="inlineStr">
        <is>
          <t xml:space="preserve">        "hadSponsor": false,</t>
        </is>
      </c>
    </row>
    <row r="2172">
      <c r="A2172" s="84" t="inlineStr">
        <is>
          <t xml:space="preserve">        "topicTags": [</t>
        </is>
      </c>
    </row>
    <row r="2173">
      <c r="A2173" s="84" t="inlineStr">
        <is>
          <t xml:space="preserve">          "nutrition",</t>
        </is>
      </c>
    </row>
    <row r="2174">
      <c r="A2174" s="84" t="inlineStr">
        <is>
          <t xml:space="preserve">          "muscle",</t>
        </is>
      </c>
    </row>
    <row r="2175">
      <c r="A2175" s="84" t="inlineStr">
        <is>
          <t xml:space="preserve">          "realistic"</t>
        </is>
      </c>
    </row>
    <row r="2176">
      <c r="A2176" s="84" t="inlineStr">
        <is>
          <t xml:space="preserve">        ]</t>
        </is>
      </c>
    </row>
    <row r="2177">
      <c r="A2177" s="84" t="inlineStr">
        <is>
          <t xml:space="preserve">      },</t>
        </is>
      </c>
    </row>
    <row r="2178">
      <c r="A2178" s="84" t="inlineStr">
        <is>
          <t xml:space="preserve">      {</t>
        </is>
      </c>
    </row>
    <row r="2179">
      <c r="A2179" s="84" t="inlineStr">
        <is>
          <t xml:space="preserve">        "title": "I Ran Every Day for a Month",</t>
        </is>
      </c>
    </row>
    <row r="2180">
      <c r="A2180" s="84" t="inlineStr">
        <is>
          <t xml:space="preserve">        "daysAgo": 14,</t>
        </is>
      </c>
    </row>
    <row r="2181">
      <c r="A2181" s="84" t="inlineStr">
        <is>
          <t xml:space="preserve">        "views": 22000,</t>
        </is>
      </c>
    </row>
    <row r="2182">
      <c r="A2182" s="84" t="inlineStr">
        <is>
          <t xml:space="preserve">        "likes": 1320,</t>
        </is>
      </c>
    </row>
    <row r="2183">
      <c r="A2183" s="84" t="inlineStr">
        <is>
          <t xml:space="preserve">        "comments": 145,</t>
        </is>
      </c>
    </row>
    <row r="2184">
      <c r="A2184" s="84" t="inlineStr">
        <is>
          <t xml:space="preserve">        "hadSponsor": false,</t>
        </is>
      </c>
    </row>
    <row r="2185">
      <c r="A2185" s="84" t="inlineStr">
        <is>
          <t xml:space="preserve">        "topicTags": [</t>
        </is>
      </c>
    </row>
    <row r="2186">
      <c r="A2186" s="84" t="inlineStr">
        <is>
          <t xml:space="preserve">          "challenge",</t>
        </is>
      </c>
    </row>
    <row r="2187">
      <c r="A2187" s="84" t="inlineStr">
        <is>
          <t xml:space="preserve">          "running",</t>
        </is>
      </c>
    </row>
    <row r="2188">
      <c r="A2188" s="84" t="inlineStr">
        <is>
          <t xml:space="preserve">          "experiment"</t>
        </is>
      </c>
    </row>
    <row r="2189">
      <c r="A2189" s="84" t="inlineStr">
        <is>
          <t xml:space="preserve">        ]</t>
        </is>
      </c>
    </row>
    <row r="2190">
      <c r="A2190" s="84" t="inlineStr">
        <is>
          <t xml:space="preserve">      },</t>
        </is>
      </c>
    </row>
    <row r="2191">
      <c r="A2191" s="84" t="inlineStr">
        <is>
          <t xml:space="preserve">      {</t>
        </is>
      </c>
    </row>
    <row r="2192">
      <c r="A2192" s="84" t="inlineStr">
        <is>
          <t xml:space="preserve">        "title": "Mobility Work That Fixed My Squat",</t>
        </is>
      </c>
    </row>
    <row r="2193">
      <c r="A2193" s="84" t="inlineStr">
        <is>
          <t xml:space="preserve">        "daysAgo": 25,</t>
        </is>
      </c>
    </row>
    <row r="2194">
      <c r="A2194" s="84" t="inlineStr">
        <is>
          <t xml:space="preserve">        "views": 30000,</t>
        </is>
      </c>
    </row>
    <row r="2195">
      <c r="A2195" s="84" t="inlineStr">
        <is>
          <t xml:space="preserve">        "likes": 1880,</t>
        </is>
      </c>
    </row>
    <row r="2196">
      <c r="A2196" s="84" t="inlineStr">
        <is>
          <t xml:space="preserve">        "comments": 210,</t>
        </is>
      </c>
    </row>
    <row r="2197">
      <c r="A2197" s="84" t="inlineStr">
        <is>
          <t xml:space="preserve">        "hadSponsor": true,</t>
        </is>
      </c>
    </row>
    <row r="2198">
      <c r="A2198" s="84" t="inlineStr">
        <is>
          <t xml:space="preserve">        "topicTags": [</t>
        </is>
      </c>
    </row>
    <row r="2199">
      <c r="A2199" s="84" t="inlineStr">
        <is>
          <t xml:space="preserve">          "mobility",</t>
        </is>
      </c>
    </row>
    <row r="2200">
      <c r="A2200" s="84" t="inlineStr">
        <is>
          <t xml:space="preserve">          "strength",</t>
        </is>
      </c>
    </row>
    <row r="2201">
      <c r="A2201" s="84" t="inlineStr">
        <is>
          <t xml:space="preserve">          "how-to"</t>
        </is>
      </c>
    </row>
    <row r="2202">
      <c r="A2202" s="84" t="inlineStr">
        <is>
          <t xml:space="preserve">        ]</t>
        </is>
      </c>
    </row>
    <row r="2203">
      <c r="A2203" s="84" t="inlineStr">
        <is>
          <t xml:space="preserve">      }</t>
        </is>
      </c>
    </row>
    <row r="2204">
      <c r="A2204" s="84" t="inlineStr">
        <is>
          <t xml:space="preserve">    ]</t>
        </is>
      </c>
    </row>
    <row r="2205">
      <c r="A2205" s="84" t="inlineStr">
        <is>
          <t xml:space="preserve">  },</t>
        </is>
      </c>
    </row>
    <row r="2206">
      <c r="A2206" s="84" t="inlineStr">
        <is>
          <t xml:space="preserve">  {</t>
        </is>
      </c>
    </row>
    <row r="2207">
      <c r="A2207" s="84" t="inlineStr">
        <is>
          <t xml:space="preserve">    "id": "dominic-pratt",</t>
        </is>
      </c>
    </row>
    <row r="2208">
      <c r="A2208" s="84" t="inlineStr">
        <is>
          <t xml:space="preserve">    "name": "Dominic Pratt",</t>
        </is>
      </c>
    </row>
    <row r="2209">
      <c r="A2209" s="84" t="inlineStr">
        <is>
          <t xml:space="preserve">    "handle": "@dompratttraining",</t>
        </is>
      </c>
    </row>
    <row r="2210">
      <c r="A2210" s="84" t="inlineStr">
        <is>
          <t xml:space="preserve">    "category": "Fitness",</t>
        </is>
      </c>
    </row>
    <row r="2211">
      <c r="A2211" s="84" t="inlineStr">
        <is>
          <t xml:space="preserve">    "tier": "Mid-tier",</t>
        </is>
      </c>
    </row>
    <row r="2212">
      <c r="A2212" s="84" t="inlineStr">
        <is>
          <t xml:space="preserve">    "subscribers": 158736,</t>
        </is>
      </c>
    </row>
    <row r="2213">
      <c r="A2213" s="84" t="inlineStr">
        <is>
          <t xml:space="preserve">    "avgViews": 65000,</t>
        </is>
      </c>
    </row>
    <row r="2214">
      <c r="A2214" s="84" t="inlineStr">
        <is>
          <t xml:space="preserve">    "engagementRate": 0.047,</t>
        </is>
      </c>
    </row>
    <row r="2215">
      <c r="A2215" s="84" t="inlineStr">
        <is>
          <t xml:space="preserve">    "channelVerified": true,</t>
        </is>
      </c>
    </row>
    <row r="2216">
      <c r="A2216" s="84" t="inlineStr">
        <is>
          <t xml:space="preserve">    "safetyScore": 88,</t>
        </is>
      </c>
    </row>
    <row r="2217">
      <c r="A2217" s="84" t="inlineStr">
        <is>
          <t xml:space="preserve">    "audienceAge": "25-44",</t>
        </is>
      </c>
    </row>
    <row r="2218">
      <c r="A2218" s="84" t="inlineStr">
        <is>
          <t xml:space="preserve">    "audienceGender": "69% M",</t>
        </is>
      </c>
    </row>
    <row r="2219">
      <c r="A2219" s="84" t="inlineStr">
        <is>
          <t xml:space="preserve">    "topCountry": "US",</t>
        </is>
      </c>
    </row>
    <row r="2220">
      <c r="A2220" s="84" t="inlineStr">
        <is>
          <t xml:space="preserve">    "uploadCadence": "2 / week",</t>
        </is>
      </c>
    </row>
    <row r="2221">
      <c r="A2221" s="84" t="inlineStr">
        <is>
          <t xml:space="preserve">    "avgLengthMin": 14,</t>
        </is>
      </c>
    </row>
    <row r="2222">
      <c r="A2222" s="84" t="inlineStr">
        <is>
          <t xml:space="preserve">    "rates": {</t>
        </is>
      </c>
    </row>
    <row r="2223">
      <c r="A2223" s="84" t="inlineStr">
        <is>
          <t xml:space="preserve">      "integrated": 1980,</t>
        </is>
      </c>
    </row>
    <row r="2224">
      <c r="A2224" s="84" t="inlineStr">
        <is>
          <t xml:space="preserve">      "dedicated": 4220,</t>
        </is>
      </c>
    </row>
    <row r="2225">
      <c r="A2225" s="84" t="inlineStr">
        <is>
          <t xml:space="preserve">      "short": 1010</t>
        </is>
      </c>
    </row>
    <row r="2226">
      <c r="A2226" s="84" t="inlineStr">
        <is>
          <t xml:space="preserve">    },</t>
        </is>
      </c>
    </row>
    <row r="2227">
      <c r="A2227" s="84" t="inlineStr">
        <is>
          <t xml:space="preserve">    "avatarInitials": "DP",</t>
        </is>
      </c>
    </row>
    <row r="2228">
      <c r="A2228" s="84" t="inlineStr">
        <is>
          <t xml:space="preserve">    "avatarColor": "#2C3E50",</t>
        </is>
      </c>
    </row>
    <row r="2229">
      <c r="A2229" s="84" t="inlineStr">
        <is>
          <t xml:space="preserve">    "bio": "Programming and progressive overload explained without the bro-science.",</t>
        </is>
      </c>
    </row>
    <row r="2230">
      <c r="A2230" s="84" t="inlineStr">
        <is>
          <t xml:space="preserve">    "languages": [</t>
        </is>
      </c>
    </row>
    <row r="2231">
      <c r="A2231" s="84" t="inlineStr">
        <is>
          <t xml:space="preserve">      "English"</t>
        </is>
      </c>
    </row>
    <row r="2232">
      <c r="A2232" s="84" t="inlineStr">
        <is>
          <t xml:space="preserve">    ],</t>
        </is>
      </c>
    </row>
    <row r="2233">
      <c r="A2233" s="84" t="inlineStr">
        <is>
          <t xml:space="preserve">    "formatsOffered": [</t>
        </is>
      </c>
    </row>
    <row r="2234">
      <c r="A2234" s="84" t="inlineStr">
        <is>
          <t xml:space="preserve">      "Integrated",</t>
        </is>
      </c>
    </row>
    <row r="2235">
      <c r="A2235" s="84" t="inlineStr">
        <is>
          <t xml:space="preserve">      "Dedicated",</t>
        </is>
      </c>
    </row>
    <row r="2236">
      <c r="A2236" s="84" t="inlineStr">
        <is>
          <t xml:space="preserve">      "Short"</t>
        </is>
      </c>
    </row>
    <row r="2237">
      <c r="A2237" s="84" t="inlineStr">
        <is>
          <t xml:space="preserve">    ],</t>
        </is>
      </c>
    </row>
    <row r="2238">
      <c r="A2238" s="84" t="inlineStr">
        <is>
          <t xml:space="preserve">    "turnaroundDays": 14,</t>
        </is>
      </c>
    </row>
    <row r="2239">
      <c r="A2239" s="84" t="inlineStr">
        <is>
          <t xml:space="preserve">    "workedWith": [</t>
        </is>
      </c>
    </row>
    <row r="2240">
      <c r="A2240" s="84" t="inlineStr">
        <is>
          <t xml:space="preserve">      "Fitness",</t>
        </is>
      </c>
    </row>
    <row r="2241">
      <c r="A2241" s="84" t="inlineStr">
        <is>
          <t xml:space="preserve">      "Supplements"</t>
        </is>
      </c>
    </row>
    <row r="2242">
      <c r="A2242" s="84" t="inlineStr">
        <is>
          <t xml:space="preserve">    ],</t>
        </is>
      </c>
    </row>
    <row r="2243">
      <c r="A2243" s="84" t="inlineStr">
        <is>
          <t xml:space="preserve">    "recentVideos": [</t>
        </is>
      </c>
    </row>
    <row r="2244">
      <c r="A2244" s="84" t="inlineStr">
        <is>
          <t xml:space="preserve">      {</t>
        </is>
      </c>
    </row>
    <row r="2245">
      <c r="A2245" s="84" t="inlineStr">
        <is>
          <t xml:space="preserve">        "title": "Home Gym on a Real Budget",</t>
        </is>
      </c>
    </row>
    <row r="2246">
      <c r="A2246" s="84" t="inlineStr">
        <is>
          <t xml:space="preserve">        "daysAgo": 8,</t>
        </is>
      </c>
    </row>
    <row r="2247">
      <c r="A2247" s="84" t="inlineStr">
        <is>
          <t xml:space="preserve">        "views": 81000,</t>
        </is>
      </c>
    </row>
    <row r="2248">
      <c r="A2248" s="84" t="inlineStr">
        <is>
          <t xml:space="preserve">        "likes": 3640,</t>
        </is>
      </c>
    </row>
    <row r="2249">
      <c r="A2249" s="84" t="inlineStr">
        <is>
          <t xml:space="preserve">        "comments": 405,</t>
        </is>
      </c>
    </row>
    <row r="2250">
      <c r="A2250" s="84" t="inlineStr">
        <is>
          <t xml:space="preserve">        "hadSponsor": true,</t>
        </is>
      </c>
    </row>
    <row r="2251">
      <c r="A2251" s="84" t="inlineStr">
        <is>
          <t xml:space="preserve">        "topicTags": [</t>
        </is>
      </c>
    </row>
    <row r="2252">
      <c r="A2252" s="84" t="inlineStr">
        <is>
          <t xml:space="preserve">          "gear",</t>
        </is>
      </c>
    </row>
    <row r="2253">
      <c r="A2253" s="84" t="inlineStr">
        <is>
          <t xml:space="preserve">          "home-gym",</t>
        </is>
      </c>
    </row>
    <row r="2254">
      <c r="A2254" s="84" t="inlineStr">
        <is>
          <t xml:space="preserve">          "budget"</t>
        </is>
      </c>
    </row>
    <row r="2255">
      <c r="A2255" s="84" t="inlineStr">
        <is>
          <t xml:space="preserve">        ]</t>
        </is>
      </c>
    </row>
    <row r="2256">
      <c r="A2256" s="84" t="inlineStr">
        <is>
          <t xml:space="preserve">      },</t>
        </is>
      </c>
    </row>
    <row r="2257">
      <c r="A2257" s="84" t="inlineStr">
        <is>
          <t xml:space="preserve">      {</t>
        </is>
      </c>
    </row>
    <row r="2258">
      <c r="A2258" s="84" t="inlineStr">
        <is>
          <t xml:space="preserve">        "title": "Recovery Is Where the Gains Are",</t>
        </is>
      </c>
    </row>
    <row r="2259">
      <c r="A2259" s="84" t="inlineStr">
        <is>
          <t xml:space="preserve">        "daysAgo": 11,</t>
        </is>
      </c>
    </row>
    <row r="2260">
      <c r="A2260" s="84" t="inlineStr">
        <is>
          <t xml:space="preserve">        "views": 58000,</t>
        </is>
      </c>
    </row>
    <row r="2261">
      <c r="A2261" s="84" t="inlineStr">
        <is>
          <t xml:space="preserve">        "likes": 2540,</t>
        </is>
      </c>
    </row>
    <row r="2262">
      <c r="A2262" s="84" t="inlineStr">
        <is>
          <t xml:space="preserve">        "comments": 285,</t>
        </is>
      </c>
    </row>
    <row r="2263">
      <c r="A2263" s="84" t="inlineStr">
        <is>
          <t xml:space="preserve">        "hadSponsor": false,</t>
        </is>
      </c>
    </row>
    <row r="2264">
      <c r="A2264" s="84" t="inlineStr">
        <is>
          <t xml:space="preserve">        "topicTags": [</t>
        </is>
      </c>
    </row>
    <row r="2265">
      <c r="A2265" s="84" t="inlineStr">
        <is>
          <t xml:space="preserve">          "recovery",</t>
        </is>
      </c>
    </row>
    <row r="2266">
      <c r="A2266" s="84" t="inlineStr">
        <is>
          <t xml:space="preserve">          "sleep",</t>
        </is>
      </c>
    </row>
    <row r="2267">
      <c r="A2267" s="84" t="inlineStr">
        <is>
          <t xml:space="preserve">          "training"</t>
        </is>
      </c>
    </row>
    <row r="2268">
      <c r="A2268" s="84" t="inlineStr">
        <is>
          <t xml:space="preserve">        ]</t>
        </is>
      </c>
    </row>
    <row r="2269">
      <c r="A2269" s="84" t="inlineStr">
        <is>
          <t xml:space="preserve">      },</t>
        </is>
      </c>
    </row>
    <row r="2270">
      <c r="A2270" s="84" t="inlineStr">
        <is>
          <t xml:space="preserve">      {</t>
        </is>
      </c>
    </row>
    <row r="2271">
      <c r="A2271" s="84" t="inlineStr">
        <is>
          <t xml:space="preserve">        "title": "Beginner Strength: Start Here",</t>
        </is>
      </c>
    </row>
    <row r="2272">
      <c r="A2272" s="84" t="inlineStr">
        <is>
          <t xml:space="preserve">        "daysAgo": 24,</t>
        </is>
      </c>
    </row>
    <row r="2273">
      <c r="A2273" s="84" t="inlineStr">
        <is>
          <t xml:space="preserve">        "views": 68000,</t>
        </is>
      </c>
    </row>
    <row r="2274">
      <c r="A2274" s="84" t="inlineStr">
        <is>
          <t xml:space="preserve">        "likes": 2820,</t>
        </is>
      </c>
    </row>
    <row r="2275">
      <c r="A2275" s="84" t="inlineStr">
        <is>
          <t xml:space="preserve">        "comments": 315,</t>
        </is>
      </c>
    </row>
    <row r="2276">
      <c r="A2276" s="84" t="inlineStr">
        <is>
          <t xml:space="preserve">        "hadSponsor": true,</t>
        </is>
      </c>
    </row>
    <row r="2277">
      <c r="A2277" s="84" t="inlineStr">
        <is>
          <t xml:space="preserve">        "topicTags": [</t>
        </is>
      </c>
    </row>
    <row r="2278">
      <c r="A2278" s="84" t="inlineStr">
        <is>
          <t xml:space="preserve">          "beginner",</t>
        </is>
      </c>
    </row>
    <row r="2279">
      <c r="A2279" s="84" t="inlineStr">
        <is>
          <t xml:space="preserve">          "strength",</t>
        </is>
      </c>
    </row>
    <row r="2280">
      <c r="A2280" s="84" t="inlineStr">
        <is>
          <t xml:space="preserve">          "how-to"</t>
        </is>
      </c>
    </row>
    <row r="2281">
      <c r="A2281" s="84" t="inlineStr">
        <is>
          <t xml:space="preserve">        ]</t>
        </is>
      </c>
    </row>
    <row r="2282">
      <c r="A2282" s="84" t="inlineStr">
        <is>
          <t xml:space="preserve">      }</t>
        </is>
      </c>
    </row>
    <row r="2283">
      <c r="A2283" s="84" t="inlineStr">
        <is>
          <t xml:space="preserve">    ]</t>
        </is>
      </c>
    </row>
    <row r="2284">
      <c r="A2284" s="84" t="inlineStr">
        <is>
          <t xml:space="preserve">  },</t>
        </is>
      </c>
    </row>
    <row r="2285">
      <c r="A2285" s="84" t="inlineStr">
        <is>
          <t xml:space="preserve">  {</t>
        </is>
      </c>
    </row>
    <row r="2286">
      <c r="A2286" s="84" t="inlineStr">
        <is>
          <t xml:space="preserve">    "id": "freya-lund",</t>
        </is>
      </c>
    </row>
    <row r="2287">
      <c r="A2287" s="84" t="inlineStr">
        <is>
          <t xml:space="preserve">    "name": "Freya Lund",</t>
        </is>
      </c>
    </row>
    <row r="2288">
      <c r="A2288" s="84" t="inlineStr">
        <is>
          <t xml:space="preserve">    "handle": "@freyaruns",</t>
        </is>
      </c>
    </row>
    <row r="2289">
      <c r="A2289" s="84" t="inlineStr">
        <is>
          <t xml:space="preserve">    "category": "Fitness",</t>
        </is>
      </c>
    </row>
    <row r="2290">
      <c r="A2290" s="84" t="inlineStr">
        <is>
          <t xml:space="preserve">    "tier": "Nano",</t>
        </is>
      </c>
    </row>
    <row r="2291">
      <c r="A2291" s="84" t="inlineStr">
        <is>
          <t xml:space="preserve">    "subscribers": 9400,</t>
        </is>
      </c>
    </row>
    <row r="2292">
      <c r="A2292" s="84" t="inlineStr">
        <is>
          <t xml:space="preserve">    "avgViews": 5000,</t>
        </is>
      </c>
    </row>
    <row r="2293">
      <c r="A2293" s="84" t="inlineStr">
        <is>
          <t xml:space="preserve">    "engagementRate": 0.099,</t>
        </is>
      </c>
    </row>
    <row r="2294">
      <c r="A2294" s="84" t="inlineStr">
        <is>
          <t xml:space="preserve">    "channelVerified": false,</t>
        </is>
      </c>
    </row>
    <row r="2295">
      <c r="A2295" s="84" t="inlineStr">
        <is>
          <t xml:space="preserve">    "safetyScore": 95,</t>
        </is>
      </c>
    </row>
    <row r="2296">
      <c r="A2296" s="84" t="inlineStr">
        <is>
          <t xml:space="preserve">    "audienceAge": "18-34",</t>
        </is>
      </c>
    </row>
    <row r="2297">
      <c r="A2297" s="84" t="inlineStr">
        <is>
          <t xml:space="preserve">    "audienceGender": "58% F",</t>
        </is>
      </c>
    </row>
    <row r="2298">
      <c r="A2298" s="84" t="inlineStr">
        <is>
          <t xml:space="preserve">    "topCountry": "NO",</t>
        </is>
      </c>
    </row>
    <row r="2299">
      <c r="A2299" s="84" t="inlineStr">
        <is>
          <t xml:space="preserve">    "uploadCadence": "2 / week",</t>
        </is>
      </c>
    </row>
    <row r="2300">
      <c r="A2300" s="84" t="inlineStr">
        <is>
          <t xml:space="preserve">    "avgLengthMin": 10,</t>
        </is>
      </c>
    </row>
    <row r="2301">
      <c r="A2301" s="84" t="inlineStr">
        <is>
          <t xml:space="preserve">    "rates": {</t>
        </is>
      </c>
    </row>
    <row r="2302">
      <c r="A2302" s="84" t="inlineStr">
        <is>
          <t xml:space="preserve">      "integrated": 240,</t>
        </is>
      </c>
    </row>
    <row r="2303">
      <c r="A2303" s="84" t="inlineStr">
        <is>
          <t xml:space="preserve">      "dedicated": 500,</t>
        </is>
      </c>
    </row>
    <row r="2304">
      <c r="A2304" s="84" t="inlineStr">
        <is>
          <t xml:space="preserve">      "short": 120</t>
        </is>
      </c>
    </row>
    <row r="2305">
      <c r="A2305" s="84" t="inlineStr">
        <is>
          <t xml:space="preserve">    },</t>
        </is>
      </c>
    </row>
    <row r="2306">
      <c r="A2306" s="84" t="inlineStr">
        <is>
          <t xml:space="preserve">    "avatarInitials": "FL",</t>
        </is>
      </c>
    </row>
    <row r="2307">
      <c r="A2307" s="84" t="inlineStr">
        <is>
          <t xml:space="preserve">    "avatarColor": "#117A65",</t>
        </is>
      </c>
    </row>
    <row r="2308">
      <c r="A2308" s="84" t="inlineStr">
        <is>
          <t xml:space="preserve">    "bio": "Running and recovery from a Nordic winter perspective.",</t>
        </is>
      </c>
    </row>
    <row r="2309">
      <c r="A2309" s="84" t="inlineStr">
        <is>
          <t xml:space="preserve">    "languages": [</t>
        </is>
      </c>
    </row>
    <row r="2310">
      <c r="A2310" s="84" t="inlineStr">
        <is>
          <t xml:space="preserve">      "English",</t>
        </is>
      </c>
    </row>
    <row r="2311">
      <c r="A2311" s="84" t="inlineStr">
        <is>
          <t xml:space="preserve">      "Norwegian"</t>
        </is>
      </c>
    </row>
    <row r="2312">
      <c r="A2312" s="84" t="inlineStr">
        <is>
          <t xml:space="preserve">    ],</t>
        </is>
      </c>
    </row>
    <row r="2313">
      <c r="A2313" s="84" t="inlineStr">
        <is>
          <t xml:space="preserve">    "formatsOffered": [</t>
        </is>
      </c>
    </row>
    <row r="2314">
      <c r="A2314" s="84" t="inlineStr">
        <is>
          <t xml:space="preserve">      "Integrated",</t>
        </is>
      </c>
    </row>
    <row r="2315">
      <c r="A2315" s="84" t="inlineStr">
        <is>
          <t xml:space="preserve">      "Dedicated",</t>
        </is>
      </c>
    </row>
    <row r="2316">
      <c r="A2316" s="84" t="inlineStr">
        <is>
          <t xml:space="preserve">      "Short"</t>
        </is>
      </c>
    </row>
    <row r="2317">
      <c r="A2317" s="84" t="inlineStr">
        <is>
          <t xml:space="preserve">    ],</t>
        </is>
      </c>
    </row>
    <row r="2318">
      <c r="A2318" s="84" t="inlineStr">
        <is>
          <t xml:space="preserve">    "turnaroundDays": 8,</t>
        </is>
      </c>
    </row>
    <row r="2319">
      <c r="A2319" s="84" t="inlineStr">
        <is>
          <t xml:space="preserve">    "workedWith": [</t>
        </is>
      </c>
    </row>
    <row r="2320">
      <c r="A2320" s="84" t="inlineStr">
        <is>
          <t xml:space="preserve">      "Fitness",</t>
        </is>
      </c>
    </row>
    <row r="2321">
      <c r="A2321" s="84" t="inlineStr">
        <is>
          <t xml:space="preserve">      "Running Gear"</t>
        </is>
      </c>
    </row>
    <row r="2322">
      <c r="A2322" s="84" t="inlineStr">
        <is>
          <t xml:space="preserve">    ],</t>
        </is>
      </c>
    </row>
    <row r="2323">
      <c r="A2323" s="84" t="inlineStr">
        <is>
          <t xml:space="preserve">    "recentVideos": [</t>
        </is>
      </c>
    </row>
    <row r="2324">
      <c r="A2324" s="84" t="inlineStr">
        <is>
          <t xml:space="preserve">      {</t>
        </is>
      </c>
    </row>
    <row r="2325">
      <c r="A2325" s="84" t="inlineStr">
        <is>
          <t xml:space="preserve">        "title": "The 7 Lifts That Matter Most",</t>
        </is>
      </c>
    </row>
    <row r="2326">
      <c r="A2326" s="84" t="inlineStr">
        <is>
          <t xml:space="preserve">        "daysAgo": 6,</t>
        </is>
      </c>
    </row>
    <row r="2327">
      <c r="A2327" s="84" t="inlineStr">
        <is>
          <t xml:space="preserve">        "views": 6000,</t>
        </is>
      </c>
    </row>
    <row r="2328">
      <c r="A2328" s="84" t="inlineStr">
        <is>
          <t xml:space="preserve">        "likes": 530,</t>
        </is>
      </c>
    </row>
    <row r="2329">
      <c r="A2329" s="84" t="inlineStr">
        <is>
          <t xml:space="preserve">        "comments": 60,</t>
        </is>
      </c>
    </row>
    <row r="2330">
      <c r="A2330" s="84" t="inlineStr">
        <is>
          <t xml:space="preserve">        "hadSponsor": false,</t>
        </is>
      </c>
    </row>
    <row r="2331">
      <c r="A2331" s="84" t="inlineStr">
        <is>
          <t xml:space="preserve">        "topicTags": [</t>
        </is>
      </c>
    </row>
    <row r="2332">
      <c r="A2332" s="84" t="inlineStr">
        <is>
          <t xml:space="preserve">          "programming",</t>
        </is>
      </c>
    </row>
    <row r="2333">
      <c r="A2333" s="84" t="inlineStr">
        <is>
          <t xml:space="preserve">          "strength",</t>
        </is>
      </c>
    </row>
    <row r="2334">
      <c r="A2334" s="84" t="inlineStr">
        <is>
          <t xml:space="preserve">          "basics"</t>
        </is>
      </c>
    </row>
    <row r="2335">
      <c r="A2335" s="84" t="inlineStr">
        <is>
          <t xml:space="preserve">        ]</t>
        </is>
      </c>
    </row>
    <row r="2336">
      <c r="A2336" s="84" t="inlineStr">
        <is>
          <t xml:space="preserve">      },</t>
        </is>
      </c>
    </row>
    <row r="2337">
      <c r="A2337" s="84" t="inlineStr">
        <is>
          <t xml:space="preserve">      {</t>
        </is>
      </c>
    </row>
    <row r="2338">
      <c r="A2338" s="84" t="inlineStr">
        <is>
          <t xml:space="preserve">        "title": "Form Check: Squat Mistakes to Avoid",</t>
        </is>
      </c>
    </row>
    <row r="2339">
      <c r="A2339" s="84" t="inlineStr">
        <is>
          <t xml:space="preserve">        "daysAgo": 14,</t>
        </is>
      </c>
    </row>
    <row r="2340">
      <c r="A2340" s="84" t="inlineStr">
        <is>
          <t xml:space="preserve">        "views": 4000,</t>
        </is>
      </c>
    </row>
    <row r="2341">
      <c r="A2341" s="84" t="inlineStr">
        <is>
          <t xml:space="preserve">        "likes": 340,</t>
        </is>
      </c>
    </row>
    <row r="2342">
      <c r="A2342" s="84" t="inlineStr">
        <is>
          <t xml:space="preserve">        "comments": 40,</t>
        </is>
      </c>
    </row>
    <row r="2343">
      <c r="A2343" s="84" t="inlineStr">
        <is>
          <t xml:space="preserve">        "hadSponsor": false,</t>
        </is>
      </c>
    </row>
    <row r="2344">
      <c r="A2344" s="84" t="inlineStr">
        <is>
          <t xml:space="preserve">        "topicTags": [</t>
        </is>
      </c>
    </row>
    <row r="2345">
      <c r="A2345" s="84" t="inlineStr">
        <is>
          <t xml:space="preserve">          "form",</t>
        </is>
      </c>
    </row>
    <row r="2346">
      <c r="A2346" s="84" t="inlineStr">
        <is>
          <t xml:space="preserve">          "technique",</t>
        </is>
      </c>
    </row>
    <row r="2347">
      <c r="A2347" s="84" t="inlineStr">
        <is>
          <t xml:space="preserve">          "how-to"</t>
        </is>
      </c>
    </row>
    <row r="2348">
      <c r="A2348" s="84" t="inlineStr">
        <is>
          <t xml:space="preserve">        ]</t>
        </is>
      </c>
    </row>
    <row r="2349">
      <c r="A2349" s="84" t="inlineStr">
        <is>
          <t xml:space="preserve">      },</t>
        </is>
      </c>
    </row>
    <row r="2350">
      <c r="A2350" s="84" t="inlineStr">
        <is>
          <t xml:space="preserve">      {</t>
        </is>
      </c>
    </row>
    <row r="2351">
      <c r="A2351" s="84" t="inlineStr">
        <is>
          <t xml:space="preserve">        "title": "What I Eat to Actually Build Muscle",</t>
        </is>
      </c>
    </row>
    <row r="2352">
      <c r="A2352" s="84" t="inlineStr">
        <is>
          <t xml:space="preserve">        "daysAgo": 22,</t>
        </is>
      </c>
    </row>
    <row r="2353">
      <c r="A2353" s="84" t="inlineStr">
        <is>
          <t xml:space="preserve">        "views": 5000,</t>
        </is>
      </c>
    </row>
    <row r="2354">
      <c r="A2354" s="84" t="inlineStr">
        <is>
          <t xml:space="preserve">        "likes": 430,</t>
        </is>
      </c>
    </row>
    <row r="2355">
      <c r="A2355" s="84" t="inlineStr">
        <is>
          <t xml:space="preserve">        "comments": 50,</t>
        </is>
      </c>
    </row>
    <row r="2356">
      <c r="A2356" s="84" t="inlineStr">
        <is>
          <t xml:space="preserve">        "hadSponsor": true,</t>
        </is>
      </c>
    </row>
    <row r="2357">
      <c r="A2357" s="84" t="inlineStr">
        <is>
          <t xml:space="preserve">        "topicTags": [</t>
        </is>
      </c>
    </row>
    <row r="2358">
      <c r="A2358" s="84" t="inlineStr">
        <is>
          <t xml:space="preserve">          "nutrition",</t>
        </is>
      </c>
    </row>
    <row r="2359">
      <c r="A2359" s="84" t="inlineStr">
        <is>
          <t xml:space="preserve">          "muscle",</t>
        </is>
      </c>
    </row>
    <row r="2360">
      <c r="A2360" s="84" t="inlineStr">
        <is>
          <t xml:space="preserve">          "realistic"</t>
        </is>
      </c>
    </row>
    <row r="2361">
      <c r="A2361" s="84" t="inlineStr">
        <is>
          <t xml:space="preserve">        ]</t>
        </is>
      </c>
    </row>
    <row r="2362">
      <c r="A2362" s="84" t="inlineStr">
        <is>
          <t xml:space="preserve">      }</t>
        </is>
      </c>
    </row>
    <row r="2363">
      <c r="A2363" s="84" t="inlineStr">
        <is>
          <t xml:space="preserve">    ]</t>
        </is>
      </c>
    </row>
    <row r="2364">
      <c r="A2364" s="84" t="inlineStr">
        <is>
          <t xml:space="preserve">  },</t>
        </is>
      </c>
    </row>
    <row r="2365">
      <c r="A2365" s="84" t="inlineStr">
        <is>
          <t xml:space="preserve">  {</t>
        </is>
      </c>
    </row>
    <row r="2366">
      <c r="A2366" s="84" t="inlineStr">
        <is>
          <t xml:space="preserve">    "id": "naomi-fletcher",</t>
        </is>
      </c>
    </row>
    <row r="2367">
      <c r="A2367" s="84" t="inlineStr">
        <is>
          <t xml:space="preserve">    "name": "Naomi Fletcher",</t>
        </is>
      </c>
    </row>
    <row r="2368">
      <c r="A2368" s="84" t="inlineStr">
        <is>
          <t xml:space="preserve">    "handle": "@naomiglow",</t>
        </is>
      </c>
    </row>
    <row r="2369">
      <c r="A2369" s="84" t="inlineStr">
        <is>
          <t xml:space="preserve">    "category": "Beauty &amp; Skincare",</t>
        </is>
      </c>
    </row>
    <row r="2370">
      <c r="A2370" s="84" t="inlineStr">
        <is>
          <t xml:space="preserve">    "tier": "Micro",</t>
        </is>
      </c>
    </row>
    <row r="2371">
      <c r="A2371" s="84" t="inlineStr">
        <is>
          <t xml:space="preserve">    "subscribers": 52000,</t>
        </is>
      </c>
    </row>
    <row r="2372">
      <c r="A2372" s="84" t="inlineStr">
        <is>
          <t xml:space="preserve">    "avgViews": 24000,</t>
        </is>
      </c>
    </row>
    <row r="2373">
      <c r="A2373" s="84" t="inlineStr">
        <is>
          <t xml:space="preserve">    "engagementRate": 0.064,</t>
        </is>
      </c>
    </row>
    <row r="2374">
      <c r="A2374" s="84" t="inlineStr">
        <is>
          <t xml:space="preserve">    "channelVerified": true,</t>
        </is>
      </c>
    </row>
    <row r="2375">
      <c r="A2375" s="84" t="inlineStr">
        <is>
          <t xml:space="preserve">    "safetyScore": 94,</t>
        </is>
      </c>
    </row>
    <row r="2376">
      <c r="A2376" s="84" t="inlineStr">
        <is>
          <t xml:space="preserve">    "audienceAge": "18-34",</t>
        </is>
      </c>
    </row>
    <row r="2377">
      <c r="A2377" s="84" t="inlineStr">
        <is>
          <t xml:space="preserve">    "audienceGender": "86% F",</t>
        </is>
      </c>
    </row>
    <row r="2378">
      <c r="A2378" s="84" t="inlineStr">
        <is>
          <t xml:space="preserve">    "topCountry": "US",</t>
        </is>
      </c>
    </row>
    <row r="2379">
      <c r="A2379" s="84" t="inlineStr">
        <is>
          <t xml:space="preserve">    "uploadCadence": "2 / week",</t>
        </is>
      </c>
    </row>
    <row r="2380">
      <c r="A2380" s="84" t="inlineStr">
        <is>
          <t xml:space="preserve">    "avgLengthMin": 11,</t>
        </is>
      </c>
    </row>
    <row r="2381">
      <c r="A2381" s="84" t="inlineStr">
        <is>
          <t xml:space="preserve">    "rates": {</t>
        </is>
      </c>
    </row>
    <row r="2382">
      <c r="A2382" s="84" t="inlineStr">
        <is>
          <t xml:space="preserve">      "integrated": 880,</t>
        </is>
      </c>
    </row>
    <row r="2383">
      <c r="A2383" s="84" t="inlineStr">
        <is>
          <t xml:space="preserve">      "dedicated": 1870,</t>
        </is>
      </c>
    </row>
    <row r="2384">
      <c r="A2384" s="84" t="inlineStr">
        <is>
          <t xml:space="preserve">      "short": 450</t>
        </is>
      </c>
    </row>
    <row r="2385">
      <c r="A2385" s="84" t="inlineStr">
        <is>
          <t xml:space="preserve">    },</t>
        </is>
      </c>
    </row>
    <row r="2386">
      <c r="A2386" s="84" t="inlineStr">
        <is>
          <t xml:space="preserve">    "avatarInitials": "NF",</t>
        </is>
      </c>
    </row>
    <row r="2387">
      <c r="A2387" s="84" t="inlineStr">
        <is>
          <t xml:space="preserve">    "avatarColor": "#D35D8B",</t>
        </is>
      </c>
    </row>
    <row r="2388">
      <c r="A2388" s="84" t="inlineStr">
        <is>
          <t xml:space="preserve">    "bio": "Ingredient-led skincare that reads the label so you don't have to.",</t>
        </is>
      </c>
    </row>
    <row r="2389">
      <c r="A2389" s="84" t="inlineStr">
        <is>
          <t xml:space="preserve">    "languages": [</t>
        </is>
      </c>
    </row>
    <row r="2390">
      <c r="A2390" s="84" t="inlineStr">
        <is>
          <t xml:space="preserve">      "English"</t>
        </is>
      </c>
    </row>
    <row r="2391">
      <c r="A2391" s="84" t="inlineStr">
        <is>
          <t xml:space="preserve">    ],</t>
        </is>
      </c>
    </row>
    <row r="2392">
      <c r="A2392" s="84" t="inlineStr">
        <is>
          <t xml:space="preserve">    "formatsOffered": [</t>
        </is>
      </c>
    </row>
    <row r="2393">
      <c r="A2393" s="84" t="inlineStr">
        <is>
          <t xml:space="preserve">      "Integrated",</t>
        </is>
      </c>
    </row>
    <row r="2394">
      <c r="A2394" s="84" t="inlineStr">
        <is>
          <t xml:space="preserve">      "Dedicated",</t>
        </is>
      </c>
    </row>
    <row r="2395">
      <c r="A2395" s="84" t="inlineStr">
        <is>
          <t xml:space="preserve">      "Short"</t>
        </is>
      </c>
    </row>
    <row r="2396">
      <c r="A2396" s="84" t="inlineStr">
        <is>
          <t xml:space="preserve">    ],</t>
        </is>
      </c>
    </row>
    <row r="2397">
      <c r="A2397" s="84" t="inlineStr">
        <is>
          <t xml:space="preserve">    "turnaroundDays": 10,</t>
        </is>
      </c>
    </row>
    <row r="2398">
      <c r="A2398" s="84" t="inlineStr">
        <is>
          <t xml:space="preserve">    "workedWith": [</t>
        </is>
      </c>
    </row>
    <row r="2399">
      <c r="A2399" s="84" t="inlineStr">
        <is>
          <t xml:space="preserve">      "Beauty &amp; Skincare",</t>
        </is>
      </c>
    </row>
    <row r="2400">
      <c r="A2400" s="84" t="inlineStr">
        <is>
          <t xml:space="preserve">      "Cosmetics"</t>
        </is>
      </c>
    </row>
    <row r="2401">
      <c r="A2401" s="84" t="inlineStr">
        <is>
          <t xml:space="preserve">    ],</t>
        </is>
      </c>
    </row>
    <row r="2402">
      <c r="A2402" s="84" t="inlineStr">
        <is>
          <t xml:space="preserve">    "recentVideos": [</t>
        </is>
      </c>
    </row>
    <row r="2403">
      <c r="A2403" s="84" t="inlineStr">
        <is>
          <t xml:space="preserve">      {</t>
        </is>
      </c>
    </row>
    <row r="2404">
      <c r="A2404" s="84" t="inlineStr">
        <is>
          <t xml:space="preserve">        "title": "Fixing a Damaged Barrier",</t>
        </is>
      </c>
    </row>
    <row r="2405">
      <c r="A2405" s="84" t="inlineStr">
        <is>
          <t xml:space="preserve">        "daysAgo": 4,</t>
        </is>
      </c>
    </row>
    <row r="2406">
      <c r="A2406" s="84" t="inlineStr">
        <is>
          <t xml:space="preserve">        "views": 30000,</t>
        </is>
      </c>
    </row>
    <row r="2407">
      <c r="A2407" s="84" t="inlineStr">
        <is>
          <t xml:space="preserve">        "likes": 1700,</t>
        </is>
      </c>
    </row>
    <row r="2408">
      <c r="A2408" s="84" t="inlineStr">
        <is>
          <t xml:space="preserve">        "comments": 190,</t>
        </is>
      </c>
    </row>
    <row r="2409">
      <c r="A2409" s="84" t="inlineStr">
        <is>
          <t xml:space="preserve">        "hadSponsor": false,</t>
        </is>
      </c>
    </row>
    <row r="2410">
      <c r="A2410" s="84" t="inlineStr">
        <is>
          <t xml:space="preserve">        "topicTags": [</t>
        </is>
      </c>
    </row>
    <row r="2411">
      <c r="A2411" s="84" t="inlineStr">
        <is>
          <t xml:space="preserve">          "barrier",</t>
        </is>
      </c>
    </row>
    <row r="2412">
      <c r="A2412" s="84" t="inlineStr">
        <is>
          <t xml:space="preserve">          "skincare",</t>
        </is>
      </c>
    </row>
    <row r="2413">
      <c r="A2413" s="84" t="inlineStr">
        <is>
          <t xml:space="preserve">          "how-to"</t>
        </is>
      </c>
    </row>
    <row r="2414">
      <c r="A2414" s="84" t="inlineStr">
        <is>
          <t xml:space="preserve">        ]</t>
        </is>
      </c>
    </row>
    <row r="2415">
      <c r="A2415" s="84" t="inlineStr">
        <is>
          <t xml:space="preserve">      },</t>
        </is>
      </c>
    </row>
    <row r="2416">
      <c r="A2416" s="84" t="inlineStr">
        <is>
          <t xml:space="preserve">      {</t>
        </is>
      </c>
    </row>
    <row r="2417">
      <c r="A2417" s="84" t="inlineStr">
        <is>
          <t xml:space="preserve">        "title": "SPF I'll Actually Reapply",</t>
        </is>
      </c>
    </row>
    <row r="2418">
      <c r="A2418" s="84" t="inlineStr">
        <is>
          <t xml:space="preserve">        "daysAgo": 17,</t>
        </is>
      </c>
    </row>
    <row r="2419">
      <c r="A2419" s="84" t="inlineStr">
        <is>
          <t xml:space="preserve">        "views": 22000,</t>
        </is>
      </c>
    </row>
    <row r="2420">
      <c r="A2420" s="84" t="inlineStr">
        <is>
          <t xml:space="preserve">        "likes": 1210,</t>
        </is>
      </c>
    </row>
    <row r="2421">
      <c r="A2421" s="84" t="inlineStr">
        <is>
          <t xml:space="preserve">        "comments": 135,</t>
        </is>
      </c>
    </row>
    <row r="2422">
      <c r="A2422" s="84" t="inlineStr">
        <is>
          <t xml:space="preserve">        "hadSponsor": false,</t>
        </is>
      </c>
    </row>
    <row r="2423">
      <c r="A2423" s="84" t="inlineStr">
        <is>
          <t xml:space="preserve">        "topicTags": [</t>
        </is>
      </c>
    </row>
    <row r="2424">
      <c r="A2424" s="84" t="inlineStr">
        <is>
          <t xml:space="preserve">          "spf",</t>
        </is>
      </c>
    </row>
    <row r="2425">
      <c r="A2425" s="84" t="inlineStr">
        <is>
          <t xml:space="preserve">          "skincare",</t>
        </is>
      </c>
    </row>
    <row r="2426">
      <c r="A2426" s="84" t="inlineStr">
        <is>
          <t xml:space="preserve">          "buying-guide"</t>
        </is>
      </c>
    </row>
    <row r="2427">
      <c r="A2427" s="84" t="inlineStr">
        <is>
          <t xml:space="preserve">        ]</t>
        </is>
      </c>
    </row>
    <row r="2428">
      <c r="A2428" s="84" t="inlineStr">
        <is>
          <t xml:space="preserve">      },</t>
        </is>
      </c>
    </row>
    <row r="2429">
      <c r="A2429" s="84" t="inlineStr">
        <is>
          <t xml:space="preserve">      {</t>
        </is>
      </c>
    </row>
    <row r="2430">
      <c r="A2430" s="84" t="inlineStr">
        <is>
          <t xml:space="preserve">        "title": "What I Cut From My Routine",</t>
        </is>
      </c>
    </row>
    <row r="2431">
      <c r="A2431" s="84" t="inlineStr">
        <is>
          <t xml:space="preserve">        "daysAgo": 23,</t>
        </is>
      </c>
    </row>
    <row r="2432">
      <c r="A2432" s="84" t="inlineStr">
        <is>
          <t xml:space="preserve">        "views": 25000,</t>
        </is>
      </c>
    </row>
    <row r="2433">
      <c r="A2433" s="84" t="inlineStr">
        <is>
          <t xml:space="preserve">        "likes": 1540,</t>
        </is>
      </c>
    </row>
    <row r="2434">
      <c r="A2434" s="84" t="inlineStr">
        <is>
          <t xml:space="preserve">        "comments": 170,</t>
        </is>
      </c>
    </row>
    <row r="2435">
      <c r="A2435" s="84" t="inlineStr">
        <is>
          <t xml:space="preserve">        "hadSponsor": false,</t>
        </is>
      </c>
    </row>
    <row r="2436">
      <c r="A2436" s="84" t="inlineStr">
        <is>
          <t xml:space="preserve">        "topicTags": [</t>
        </is>
      </c>
    </row>
    <row r="2437">
      <c r="A2437" s="84" t="inlineStr">
        <is>
          <t xml:space="preserve">          "routine",</t>
        </is>
      </c>
    </row>
    <row r="2438">
      <c r="A2438" s="84" t="inlineStr">
        <is>
          <t xml:space="preserve">          "minimalist",</t>
        </is>
      </c>
    </row>
    <row r="2439">
      <c r="A2439" s="84" t="inlineStr">
        <is>
          <t xml:space="preserve">          "skincare"</t>
        </is>
      </c>
    </row>
    <row r="2440">
      <c r="A2440" s="84" t="inlineStr">
        <is>
          <t xml:space="preserve">        ]</t>
        </is>
      </c>
    </row>
    <row r="2441">
      <c r="A2441" s="84" t="inlineStr">
        <is>
          <t xml:space="preserve">      }</t>
        </is>
      </c>
    </row>
    <row r="2442">
      <c r="A2442" s="84" t="inlineStr">
        <is>
          <t xml:space="preserve">    ]</t>
        </is>
      </c>
    </row>
    <row r="2443">
      <c r="A2443" s="84" t="inlineStr">
        <is>
          <t xml:space="preserve">  },</t>
        </is>
      </c>
    </row>
    <row r="2444">
      <c r="A2444" s="84" t="inlineStr">
        <is>
          <t xml:space="preserve">  {</t>
        </is>
      </c>
    </row>
    <row r="2445">
      <c r="A2445" s="84" t="inlineStr">
        <is>
          <t xml:space="preserve">    "id": "camila-santos",</t>
        </is>
      </c>
    </row>
    <row r="2446">
      <c r="A2446" s="84" t="inlineStr">
        <is>
          <t xml:space="preserve">    "name": "Camila Santos",</t>
        </is>
      </c>
    </row>
    <row r="2447">
      <c r="A2447" s="84" t="inlineStr">
        <is>
          <t xml:space="preserve">    "handle": "@camilaskinbr",</t>
        </is>
      </c>
    </row>
    <row r="2448">
      <c r="A2448" s="84" t="inlineStr">
        <is>
          <t xml:space="preserve">    "category": "Beauty &amp; Skincare",</t>
        </is>
      </c>
    </row>
    <row r="2449">
      <c r="A2449" s="84" t="inlineStr">
        <is>
          <t xml:space="preserve">    "tier": "Nano",</t>
        </is>
      </c>
    </row>
    <row r="2450">
      <c r="A2450" s="84" t="inlineStr">
        <is>
          <t xml:space="preserve">    "subscribers": 8200,</t>
        </is>
      </c>
    </row>
    <row r="2451">
      <c r="A2451" s="84" t="inlineStr">
        <is>
          <t xml:space="preserve">    "avgViews": 5000,</t>
        </is>
      </c>
    </row>
    <row r="2452">
      <c r="A2452" s="84" t="inlineStr">
        <is>
          <t xml:space="preserve">    "engagementRate": 0.116,</t>
        </is>
      </c>
    </row>
    <row r="2453">
      <c r="A2453" s="84" t="inlineStr">
        <is>
          <t xml:space="preserve">    "channelVerified": false,</t>
        </is>
      </c>
    </row>
    <row r="2454">
      <c r="A2454" s="84" t="inlineStr">
        <is>
          <t xml:space="preserve">    "safetyScore": 96,</t>
        </is>
      </c>
    </row>
    <row r="2455">
      <c r="A2455" s="84" t="inlineStr">
        <is>
          <t xml:space="preserve">    "audienceAge": "18-34",</t>
        </is>
      </c>
    </row>
    <row r="2456">
      <c r="A2456" s="84" t="inlineStr">
        <is>
          <t xml:space="preserve">    "audienceGender": "84% F",</t>
        </is>
      </c>
    </row>
    <row r="2457">
      <c r="A2457" s="84" t="inlineStr">
        <is>
          <t xml:space="preserve">    "topCountry": "BR",</t>
        </is>
      </c>
    </row>
    <row r="2458">
      <c r="A2458" s="84" t="inlineStr">
        <is>
          <t xml:space="preserve">    "uploadCadence": "2 / week",</t>
        </is>
      </c>
    </row>
    <row r="2459">
      <c r="A2459" s="84" t="inlineStr">
        <is>
          <t xml:space="preserve">    "avgLengthMin": 9,</t>
        </is>
      </c>
    </row>
    <row r="2460">
      <c r="A2460" s="84" t="inlineStr">
        <is>
          <t xml:space="preserve">    "rates": {</t>
        </is>
      </c>
    </row>
    <row r="2461">
      <c r="A2461" s="84" t="inlineStr">
        <is>
          <t xml:space="preserve">      "integrated": 240,</t>
        </is>
      </c>
    </row>
    <row r="2462">
      <c r="A2462" s="84" t="inlineStr">
        <is>
          <t xml:space="preserve">      "dedicated": 500,</t>
        </is>
      </c>
    </row>
    <row r="2463">
      <c r="A2463" s="84" t="inlineStr">
        <is>
          <t xml:space="preserve">      "short": 120</t>
        </is>
      </c>
    </row>
    <row r="2464">
      <c r="A2464" s="84" t="inlineStr">
        <is>
          <t xml:space="preserve">    },</t>
        </is>
      </c>
    </row>
    <row r="2465">
      <c r="A2465" s="84" t="inlineStr">
        <is>
          <t xml:space="preserve">    "avatarInitials": "CS",</t>
        </is>
      </c>
    </row>
    <row r="2466">
      <c r="A2466" s="84" t="inlineStr">
        <is>
          <t xml:space="preserve">    "avatarColor": "#C2407A",</t>
        </is>
      </c>
    </row>
    <row r="2467">
      <c r="A2467" s="84" t="inlineStr">
        <is>
          <t xml:space="preserve">    "bio": "Affordable skincare routines for humid climates.",</t>
        </is>
      </c>
    </row>
    <row r="2468">
      <c r="A2468" s="84" t="inlineStr">
        <is>
          <t xml:space="preserve">    "languages": [</t>
        </is>
      </c>
    </row>
    <row r="2469">
      <c r="A2469" s="84" t="inlineStr">
        <is>
          <t xml:space="preserve">      "Portuguese",</t>
        </is>
      </c>
    </row>
    <row r="2470">
      <c r="A2470" s="84" t="inlineStr">
        <is>
          <t xml:space="preserve">      "English"</t>
        </is>
      </c>
    </row>
    <row r="2471">
      <c r="A2471" s="84" t="inlineStr">
        <is>
          <t xml:space="preserve">    ],</t>
        </is>
      </c>
    </row>
    <row r="2472">
      <c r="A2472" s="84" t="inlineStr">
        <is>
          <t xml:space="preserve">    "formatsOffered": [</t>
        </is>
      </c>
    </row>
    <row r="2473">
      <c r="A2473" s="84" t="inlineStr">
        <is>
          <t xml:space="preserve">      "Integrated",</t>
        </is>
      </c>
    </row>
    <row r="2474">
      <c r="A2474" s="84" t="inlineStr">
        <is>
          <t xml:space="preserve">      "Dedicated",</t>
        </is>
      </c>
    </row>
    <row r="2475">
      <c r="A2475" s="84" t="inlineStr">
        <is>
          <t xml:space="preserve">      "Short"</t>
        </is>
      </c>
    </row>
    <row r="2476">
      <c r="A2476" s="84" t="inlineStr">
        <is>
          <t xml:space="preserve">    ],</t>
        </is>
      </c>
    </row>
    <row r="2477">
      <c r="A2477" s="84" t="inlineStr">
        <is>
          <t xml:space="preserve">    "turnaroundDays": 7,</t>
        </is>
      </c>
    </row>
    <row r="2478">
      <c r="A2478" s="84" t="inlineStr">
        <is>
          <t xml:space="preserve">    "workedWith": [</t>
        </is>
      </c>
    </row>
    <row r="2479">
      <c r="A2479" s="84" t="inlineStr">
        <is>
          <t xml:space="preserve">      "Beauty &amp; Skincare",</t>
        </is>
      </c>
    </row>
    <row r="2480">
      <c r="A2480" s="84" t="inlineStr">
        <is>
          <t xml:space="preserve">      "Cosmetics"</t>
        </is>
      </c>
    </row>
    <row r="2481">
      <c r="A2481" s="84" t="inlineStr">
        <is>
          <t xml:space="preserve">    ],</t>
        </is>
      </c>
    </row>
    <row r="2482">
      <c r="A2482" s="84" t="inlineStr">
        <is>
          <t xml:space="preserve">    "recentVideos": [</t>
        </is>
      </c>
    </row>
    <row r="2483">
      <c r="A2483" s="84" t="inlineStr">
        <is>
          <t xml:space="preserve">      {</t>
        </is>
      </c>
    </row>
    <row r="2484">
      <c r="A2484" s="84" t="inlineStr">
        <is>
          <t xml:space="preserve">        "title": "Affordable Skincare for Humid Weather",</t>
        </is>
      </c>
    </row>
    <row r="2485">
      <c r="A2485" s="84" t="inlineStr">
        <is>
          <t xml:space="preserve">        "daysAgo": 6,</t>
        </is>
      </c>
    </row>
    <row r="2486">
      <c r="A2486" s="84" t="inlineStr">
        <is>
          <t xml:space="preserve">        "views": 6000,</t>
        </is>
      </c>
    </row>
    <row r="2487">
      <c r="A2487" s="84" t="inlineStr">
        <is>
          <t xml:space="preserve">        "likes": 610,</t>
        </is>
      </c>
    </row>
    <row r="2488">
      <c r="A2488" s="84" t="inlineStr">
        <is>
          <t xml:space="preserve">        "comments": 70,</t>
        </is>
      </c>
    </row>
    <row r="2489">
      <c r="A2489" s="84" t="inlineStr">
        <is>
          <t xml:space="preserve">        "hadSponsor": true,</t>
        </is>
      </c>
    </row>
    <row r="2490">
      <c r="A2490" s="84" t="inlineStr">
        <is>
          <t xml:space="preserve">        "topicTags": [</t>
        </is>
      </c>
    </row>
    <row r="2491">
      <c r="A2491" s="84" t="inlineStr">
        <is>
          <t xml:space="preserve">          "budget",</t>
        </is>
      </c>
    </row>
    <row r="2492">
      <c r="A2492" s="84" t="inlineStr">
        <is>
          <t xml:space="preserve">          "skincare",</t>
        </is>
      </c>
    </row>
    <row r="2493">
      <c r="A2493" s="84" t="inlineStr">
        <is>
          <t xml:space="preserve">          "climate"</t>
        </is>
      </c>
    </row>
    <row r="2494">
      <c r="A2494" s="84" t="inlineStr">
        <is>
          <t xml:space="preserve">        ]</t>
        </is>
      </c>
    </row>
    <row r="2495">
      <c r="A2495" s="84" t="inlineStr">
        <is>
          <t xml:space="preserve">      },</t>
        </is>
      </c>
    </row>
    <row r="2496">
      <c r="A2496" s="84" t="inlineStr">
        <is>
          <t xml:space="preserve">      {</t>
        </is>
      </c>
    </row>
    <row r="2497">
      <c r="A2497" s="84" t="inlineStr">
        <is>
          <t xml:space="preserve">        "title": "Reading the Ingredient List So You Don't",</t>
        </is>
      </c>
    </row>
    <row r="2498">
      <c r="A2498" s="84" t="inlineStr">
        <is>
          <t xml:space="preserve">        "daysAgo": 18,</t>
        </is>
      </c>
    </row>
    <row r="2499">
      <c r="A2499" s="84" t="inlineStr">
        <is>
          <t xml:space="preserve">        "views": 4000,</t>
        </is>
      </c>
    </row>
    <row r="2500">
      <c r="A2500" s="84" t="inlineStr">
        <is>
          <t xml:space="preserve">        "likes": 450,</t>
        </is>
      </c>
    </row>
    <row r="2501">
      <c r="A2501" s="84" t="inlineStr">
        <is>
          <t xml:space="preserve">        "comments": 50,</t>
        </is>
      </c>
    </row>
    <row r="2502">
      <c r="A2502" s="84" t="inlineStr">
        <is>
          <t xml:space="preserve">        "hadSponsor": false,</t>
        </is>
      </c>
    </row>
    <row r="2503">
      <c r="A2503" s="84" t="inlineStr">
        <is>
          <t xml:space="preserve">        "topicTags": [</t>
        </is>
      </c>
    </row>
    <row r="2504">
      <c r="A2504" s="84" t="inlineStr">
        <is>
          <t xml:space="preserve">          "ingredients",</t>
        </is>
      </c>
    </row>
    <row r="2505">
      <c r="A2505" s="84" t="inlineStr">
        <is>
          <t xml:space="preserve">          "how-to",</t>
        </is>
      </c>
    </row>
    <row r="2506">
      <c r="A2506" s="84" t="inlineStr">
        <is>
          <t xml:space="preserve">          "science"</t>
        </is>
      </c>
    </row>
    <row r="2507">
      <c r="A2507" s="84" t="inlineStr">
        <is>
          <t xml:space="preserve">        ]</t>
        </is>
      </c>
    </row>
    <row r="2508">
      <c r="A2508" s="84" t="inlineStr">
        <is>
          <t xml:space="preserve">      },</t>
        </is>
      </c>
    </row>
    <row r="2509">
      <c r="A2509" s="84" t="inlineStr">
        <is>
          <t xml:space="preserve">      {</t>
        </is>
      </c>
    </row>
    <row r="2510">
      <c r="A2510" s="84" t="inlineStr">
        <is>
          <t xml:space="preserve">        "title": "My Honest Retinol Routine",</t>
        </is>
      </c>
    </row>
    <row r="2511">
      <c r="A2511" s="84" t="inlineStr">
        <is>
          <t xml:space="preserve">        "daysAgo": 24,</t>
        </is>
      </c>
    </row>
    <row r="2512">
      <c r="A2512" s="84" t="inlineStr">
        <is>
          <t xml:space="preserve">        "views": 5000,</t>
        </is>
      </c>
    </row>
    <row r="2513">
      <c r="A2513" s="84" t="inlineStr">
        <is>
          <t xml:space="preserve">        "likes": 540,</t>
        </is>
      </c>
    </row>
    <row r="2514">
      <c r="A2514" s="84" t="inlineStr">
        <is>
          <t xml:space="preserve">        "comments": 60,</t>
        </is>
      </c>
    </row>
    <row r="2515">
      <c r="A2515" s="84" t="inlineStr">
        <is>
          <t xml:space="preserve">        "hadSponsor": false,</t>
        </is>
      </c>
    </row>
    <row r="2516">
      <c r="A2516" s="84" t="inlineStr">
        <is>
          <t xml:space="preserve">        "topicTags": [</t>
        </is>
      </c>
    </row>
    <row r="2517">
      <c r="A2517" s="84" t="inlineStr">
        <is>
          <t xml:space="preserve">          "routine",</t>
        </is>
      </c>
    </row>
    <row r="2518">
      <c r="A2518" s="84" t="inlineStr">
        <is>
          <t xml:space="preserve">          "skincare",</t>
        </is>
      </c>
    </row>
    <row r="2519">
      <c r="A2519" s="84" t="inlineStr">
        <is>
          <t xml:space="preserve">          "honest"</t>
        </is>
      </c>
    </row>
    <row r="2520">
      <c r="A2520" s="84" t="inlineStr">
        <is>
          <t xml:space="preserve">        ]</t>
        </is>
      </c>
    </row>
    <row r="2521">
      <c r="A2521" s="84" t="inlineStr">
        <is>
          <t xml:space="preserve">      }</t>
        </is>
      </c>
    </row>
    <row r="2522">
      <c r="A2522" s="84" t="inlineStr">
        <is>
          <t xml:space="preserve">    ]</t>
        </is>
      </c>
    </row>
    <row r="2523">
      <c r="A2523" s="84" t="inlineStr">
        <is>
          <t xml:space="preserve">  },</t>
        </is>
      </c>
    </row>
    <row r="2524">
      <c r="A2524" s="84" t="inlineStr">
        <is>
          <t xml:space="preserve">  {</t>
        </is>
      </c>
    </row>
    <row r="2525">
      <c r="A2525" s="84" t="inlineStr">
        <is>
          <t xml:space="preserve">    "id": "zoe-bennett",</t>
        </is>
      </c>
    </row>
    <row r="2526">
      <c r="A2526" s="84" t="inlineStr">
        <is>
          <t xml:space="preserve">    "name": "Zoe Bennett",</t>
        </is>
      </c>
    </row>
    <row r="2527">
      <c r="A2527" s="84" t="inlineStr">
        <is>
          <t xml:space="preserve">    "handle": "@zoecapsule",</t>
        </is>
      </c>
    </row>
    <row r="2528">
      <c r="A2528" s="84" t="inlineStr">
        <is>
          <t xml:space="preserve">    "category": "Fashion &amp; Beauty",</t>
        </is>
      </c>
    </row>
    <row r="2529">
      <c r="A2529" s="84" t="inlineStr">
        <is>
          <t xml:space="preserve">    "tier": "Micro",</t>
        </is>
      </c>
    </row>
    <row r="2530">
      <c r="A2530" s="84" t="inlineStr">
        <is>
          <t xml:space="preserve">    "subscribers": 44000,</t>
        </is>
      </c>
    </row>
    <row r="2531">
      <c r="A2531" s="84" t="inlineStr">
        <is>
          <t xml:space="preserve">    "avgViews": 21000,</t>
        </is>
      </c>
    </row>
    <row r="2532">
      <c r="A2532" s="84" t="inlineStr">
        <is>
          <t xml:space="preserve">    "engagementRate": 0.067,</t>
        </is>
      </c>
    </row>
    <row r="2533">
      <c r="A2533" s="84" t="inlineStr">
        <is>
          <t xml:space="preserve">    "channelVerified": true,</t>
        </is>
      </c>
    </row>
    <row r="2534">
      <c r="A2534" s="84" t="inlineStr">
        <is>
          <t xml:space="preserve">    "safetyScore": 92,</t>
        </is>
      </c>
    </row>
    <row r="2535">
      <c r="A2535" s="84" t="inlineStr">
        <is>
          <t xml:space="preserve">    "audienceAge": "18-34",</t>
        </is>
      </c>
    </row>
    <row r="2536">
      <c r="A2536" s="84" t="inlineStr">
        <is>
          <t xml:space="preserve">    "audienceGender": "85% F",</t>
        </is>
      </c>
    </row>
    <row r="2537">
      <c r="A2537" s="84" t="inlineStr">
        <is>
          <t xml:space="preserve">    "topCountry": "UK",</t>
        </is>
      </c>
    </row>
    <row r="2538">
      <c r="A2538" s="84" t="inlineStr">
        <is>
          <t xml:space="preserve">    "uploadCadence": "2 / week",</t>
        </is>
      </c>
    </row>
    <row r="2539">
      <c r="A2539" s="84" t="inlineStr">
        <is>
          <t xml:space="preserve">    "avgLengthMin": 10,</t>
        </is>
      </c>
    </row>
    <row r="2540">
      <c r="A2540" s="84" t="inlineStr">
        <is>
          <t xml:space="preserve">    "rates": {</t>
        </is>
      </c>
    </row>
    <row r="2541">
      <c r="A2541" s="84" t="inlineStr">
        <is>
          <t xml:space="preserve">      "integrated": 770,</t>
        </is>
      </c>
    </row>
    <row r="2542">
      <c r="A2542" s="84" t="inlineStr">
        <is>
          <t xml:space="preserve">      "dedicated": 1640,</t>
        </is>
      </c>
    </row>
    <row r="2543">
      <c r="A2543" s="84" t="inlineStr">
        <is>
          <t xml:space="preserve">      "short": 390</t>
        </is>
      </c>
    </row>
    <row r="2544">
      <c r="A2544" s="84" t="inlineStr">
        <is>
          <t xml:space="preserve">    },</t>
        </is>
      </c>
    </row>
    <row r="2545">
      <c r="A2545" s="84" t="inlineStr">
        <is>
          <t xml:space="preserve">    "avatarInitials": "ZB",</t>
        </is>
      </c>
    </row>
    <row r="2546">
      <c r="A2546" s="84" t="inlineStr">
        <is>
          <t xml:space="preserve">    "avatarColor": "#9B2D8B",</t>
        </is>
      </c>
    </row>
    <row r="2547">
      <c r="A2547" s="84" t="inlineStr">
        <is>
          <t xml:space="preserve">    "bio": "Capsule wardrobes and secondhand styling on a real budget.",</t>
        </is>
      </c>
    </row>
    <row r="2548">
      <c r="A2548" s="84" t="inlineStr">
        <is>
          <t xml:space="preserve">    "languages": [</t>
        </is>
      </c>
    </row>
    <row r="2549">
      <c r="A2549" s="84" t="inlineStr">
        <is>
          <t xml:space="preserve">      "English"</t>
        </is>
      </c>
    </row>
    <row r="2550">
      <c r="A2550" s="84" t="inlineStr">
        <is>
          <t xml:space="preserve">    ],</t>
        </is>
      </c>
    </row>
    <row r="2551">
      <c r="A2551" s="84" t="inlineStr">
        <is>
          <t xml:space="preserve">    "formatsOffered": [</t>
        </is>
      </c>
    </row>
    <row r="2552">
      <c r="A2552" s="84" t="inlineStr">
        <is>
          <t xml:space="preserve">      "Integrated",</t>
        </is>
      </c>
    </row>
    <row r="2553">
      <c r="A2553" s="84" t="inlineStr">
        <is>
          <t xml:space="preserve">      "Dedicated",</t>
        </is>
      </c>
    </row>
    <row r="2554">
      <c r="A2554" s="84" t="inlineStr">
        <is>
          <t xml:space="preserve">      "Short"</t>
        </is>
      </c>
    </row>
    <row r="2555">
      <c r="A2555" s="84" t="inlineStr">
        <is>
          <t xml:space="preserve">    ],</t>
        </is>
      </c>
    </row>
    <row r="2556">
      <c r="A2556" s="84" t="inlineStr">
        <is>
          <t xml:space="preserve">    "turnaroundDays": 10,</t>
        </is>
      </c>
    </row>
    <row r="2557">
      <c r="A2557" s="84" t="inlineStr">
        <is>
          <t xml:space="preserve">    "workedWith": [</t>
        </is>
      </c>
    </row>
    <row r="2558">
      <c r="A2558" s="84" t="inlineStr">
        <is>
          <t xml:space="preserve">      "Apparel",</t>
        </is>
      </c>
    </row>
    <row r="2559">
      <c r="A2559" s="84" t="inlineStr">
        <is>
          <t xml:space="preserve">      "Resale Platforms"</t>
        </is>
      </c>
    </row>
    <row r="2560">
      <c r="A2560" s="84" t="inlineStr">
        <is>
          <t xml:space="preserve">    ],</t>
        </is>
      </c>
    </row>
    <row r="2561">
      <c r="A2561" s="84" t="inlineStr">
        <is>
          <t xml:space="preserve">    "recentVideos": [</t>
        </is>
      </c>
    </row>
    <row r="2562">
      <c r="A2562" s="84" t="inlineStr">
        <is>
          <t xml:space="preserve">      {</t>
        </is>
      </c>
    </row>
    <row r="2563">
      <c r="A2563" s="84" t="inlineStr">
        <is>
          <t xml:space="preserve">        "title": "Cost-Per-Wear on My Most-Worn Pieces",</t>
        </is>
      </c>
    </row>
    <row r="2564">
      <c r="A2564" s="84" t="inlineStr">
        <is>
          <t xml:space="preserve">        "daysAgo": 8,</t>
        </is>
      </c>
    </row>
    <row r="2565">
      <c r="A2565" s="84" t="inlineStr">
        <is>
          <t xml:space="preserve">        "views": 26000,</t>
        </is>
      </c>
    </row>
    <row r="2566">
      <c r="A2566" s="84" t="inlineStr">
        <is>
          <t xml:space="preserve">        "likes": 1530,</t>
        </is>
      </c>
    </row>
    <row r="2567">
      <c r="A2567" s="84" t="inlineStr">
        <is>
          <t xml:space="preserve">        "comments": 170,</t>
        </is>
      </c>
    </row>
    <row r="2568">
      <c r="A2568" s="84" t="inlineStr">
        <is>
          <t xml:space="preserve">        "hadSponsor": true,</t>
        </is>
      </c>
    </row>
    <row r="2569">
      <c r="A2569" s="84" t="inlineStr">
        <is>
          <t xml:space="preserve">        "topicTags": [</t>
        </is>
      </c>
    </row>
    <row r="2570">
      <c r="A2570" s="84" t="inlineStr">
        <is>
          <t xml:space="preserve">          "value",</t>
        </is>
      </c>
    </row>
    <row r="2571">
      <c r="A2571" s="84" t="inlineStr">
        <is>
          <t xml:space="preserve">          "wardrobe",</t>
        </is>
      </c>
    </row>
    <row r="2572">
      <c r="A2572" s="84" t="inlineStr">
        <is>
          <t xml:space="preserve">          "math"</t>
        </is>
      </c>
    </row>
    <row r="2573">
      <c r="A2573" s="84" t="inlineStr">
        <is>
          <t xml:space="preserve">        ]</t>
        </is>
      </c>
    </row>
    <row r="2574">
      <c r="A2574" s="84" t="inlineStr">
        <is>
          <t xml:space="preserve">      },</t>
        </is>
      </c>
    </row>
    <row r="2575">
      <c r="A2575" s="84" t="inlineStr">
        <is>
          <t xml:space="preserve">      {</t>
        </is>
      </c>
    </row>
    <row r="2576">
      <c r="A2576" s="84" t="inlineStr">
        <is>
          <t xml:space="preserve">        "title": "Refashioning a Thrifted Jacket",</t>
        </is>
      </c>
    </row>
    <row r="2577">
      <c r="A2577" s="84" t="inlineStr">
        <is>
          <t xml:space="preserve">        "daysAgo": 18,</t>
        </is>
      </c>
    </row>
    <row r="2578">
      <c r="A2578" s="84" t="inlineStr">
        <is>
          <t xml:space="preserve">        "views": 19000,</t>
        </is>
      </c>
    </row>
    <row r="2579">
      <c r="A2579" s="84" t="inlineStr">
        <is>
          <t xml:space="preserve">        "likes": 1200,</t>
        </is>
      </c>
    </row>
    <row r="2580">
      <c r="A2580" s="84" t="inlineStr">
        <is>
          <t xml:space="preserve">        "comments": 135,</t>
        </is>
      </c>
    </row>
    <row r="2581">
      <c r="A2581" s="84" t="inlineStr">
        <is>
          <t xml:space="preserve">        "hadSponsor": true,</t>
        </is>
      </c>
    </row>
    <row r="2582">
      <c r="A2582" s="84" t="inlineStr">
        <is>
          <t xml:space="preserve">        "topicTags": [</t>
        </is>
      </c>
    </row>
    <row r="2583">
      <c r="A2583" s="84" t="inlineStr">
        <is>
          <t xml:space="preserve">          "refashion",</t>
        </is>
      </c>
    </row>
    <row r="2584">
      <c r="A2584" s="84" t="inlineStr">
        <is>
          <t xml:space="preserve">          "diy",</t>
        </is>
      </c>
    </row>
    <row r="2585">
      <c r="A2585" s="84" t="inlineStr">
        <is>
          <t xml:space="preserve">          "thrift"</t>
        </is>
      </c>
    </row>
    <row r="2586">
      <c r="A2586" s="84" t="inlineStr">
        <is>
          <t xml:space="preserve">        ]</t>
        </is>
      </c>
    </row>
    <row r="2587">
      <c r="A2587" s="84" t="inlineStr">
        <is>
          <t xml:space="preserve">      },</t>
        </is>
      </c>
    </row>
    <row r="2588">
      <c r="A2588" s="84" t="inlineStr">
        <is>
          <t xml:space="preserve">      {</t>
        </is>
      </c>
    </row>
    <row r="2589">
      <c r="A2589" s="84" t="inlineStr">
        <is>
          <t xml:space="preserve">        "title": "Quiet-Luxury Basics That Last",</t>
        </is>
      </c>
    </row>
    <row r="2590">
      <c r="A2590" s="84" t="inlineStr">
        <is>
          <t xml:space="preserve">        "daysAgo": 23,</t>
        </is>
      </c>
    </row>
    <row r="2591">
      <c r="A2591" s="84" t="inlineStr">
        <is>
          <t xml:space="preserve">        "views": 22000,</t>
        </is>
      </c>
    </row>
    <row r="2592">
      <c r="A2592" s="84" t="inlineStr">
        <is>
          <t xml:space="preserve">        "likes": 1350,</t>
        </is>
      </c>
    </row>
    <row r="2593">
      <c r="A2593" s="84" t="inlineStr">
        <is>
          <t xml:space="preserve">        "comments": 150,</t>
        </is>
      </c>
    </row>
    <row r="2594">
      <c r="A2594" s="84" t="inlineStr">
        <is>
          <t xml:space="preserve">        "hadSponsor": false,</t>
        </is>
      </c>
    </row>
    <row r="2595">
      <c r="A2595" s="84" t="inlineStr">
        <is>
          <t xml:space="preserve">        "topicTags": [</t>
        </is>
      </c>
    </row>
    <row r="2596">
      <c r="A2596" s="84" t="inlineStr">
        <is>
          <t xml:space="preserve">          "basics",</t>
        </is>
      </c>
    </row>
    <row r="2597">
      <c r="A2597" s="84" t="inlineStr">
        <is>
          <t xml:space="preserve">          "quality",</t>
        </is>
      </c>
    </row>
    <row r="2598">
      <c r="A2598" s="84" t="inlineStr">
        <is>
          <t xml:space="preserve">          "styling"</t>
        </is>
      </c>
    </row>
    <row r="2599">
      <c r="A2599" s="84" t="inlineStr">
        <is>
          <t xml:space="preserve">        ]</t>
        </is>
      </c>
    </row>
    <row r="2600">
      <c r="A2600" s="84" t="inlineStr">
        <is>
          <t xml:space="preserve">      }</t>
        </is>
      </c>
    </row>
    <row r="2601">
      <c r="A2601" s="84" t="inlineStr">
        <is>
          <t xml:space="preserve">    ]</t>
        </is>
      </c>
    </row>
    <row r="2602">
      <c r="A2602" s="84" t="inlineStr">
        <is>
          <t xml:space="preserve">  },</t>
        </is>
      </c>
    </row>
    <row r="2603">
      <c r="A2603" s="84" t="inlineStr">
        <is>
          <t xml:space="preserve">  {</t>
        </is>
      </c>
    </row>
    <row r="2604">
      <c r="A2604" s="84" t="inlineStr">
        <is>
          <t xml:space="preserve">    "id": "ingrid-halvorsen",</t>
        </is>
      </c>
    </row>
    <row r="2605">
      <c r="A2605" s="84" t="inlineStr">
        <is>
          <t xml:space="preserve">    "name": "Ingrid Halvorsen",</t>
        </is>
      </c>
    </row>
    <row r="2606">
      <c r="A2606" s="84" t="inlineStr">
        <is>
          <t xml:space="preserve">    "handle": "@ingridstyle",</t>
        </is>
      </c>
    </row>
    <row r="2607">
      <c r="A2607" s="84" t="inlineStr">
        <is>
          <t xml:space="preserve">    "category": "Fashion &amp; Beauty",</t>
        </is>
      </c>
    </row>
    <row r="2608">
      <c r="A2608" s="84" t="inlineStr">
        <is>
          <t xml:space="preserve">    "tier": "Mid-tier",</t>
        </is>
      </c>
    </row>
    <row r="2609">
      <c r="A2609" s="84" t="inlineStr">
        <is>
          <t xml:space="preserve">    "subscribers": 150580,</t>
        </is>
      </c>
    </row>
    <row r="2610">
      <c r="A2610" s="84" t="inlineStr">
        <is>
          <t xml:space="preserve">    "avgViews": 57000,</t>
        </is>
      </c>
    </row>
    <row r="2611">
      <c r="A2611" s="84" t="inlineStr">
        <is>
          <t xml:space="preserve">    "engagementRate": 0.048,</t>
        </is>
      </c>
    </row>
    <row r="2612">
      <c r="A2612" s="84" t="inlineStr">
        <is>
          <t xml:space="preserve">    "channelVerified": true,</t>
        </is>
      </c>
    </row>
    <row r="2613">
      <c r="A2613" s="84" t="inlineStr">
        <is>
          <t xml:space="preserve">    "safetyScore": 90,</t>
        </is>
      </c>
    </row>
    <row r="2614">
      <c r="A2614" s="84" t="inlineStr">
        <is>
          <t xml:space="preserve">    "audienceAge": "25-44",</t>
        </is>
      </c>
    </row>
    <row r="2615">
      <c r="A2615" s="84" t="inlineStr">
        <is>
          <t xml:space="preserve">    "audienceGender": "80% F",</t>
        </is>
      </c>
    </row>
    <row r="2616">
      <c r="A2616" s="84" t="inlineStr">
        <is>
          <t xml:space="preserve">    "topCountry": "US",</t>
        </is>
      </c>
    </row>
    <row r="2617">
      <c r="A2617" s="84" t="inlineStr">
        <is>
          <t xml:space="preserve">    "uploadCadence": "1 / week",</t>
        </is>
      </c>
    </row>
    <row r="2618">
      <c r="A2618" s="84" t="inlineStr">
        <is>
          <t xml:space="preserve">    "avgLengthMin": 13,</t>
        </is>
      </c>
    </row>
    <row r="2619">
      <c r="A2619" s="84" t="inlineStr">
        <is>
          <t xml:space="preserve">    "rates": {</t>
        </is>
      </c>
    </row>
    <row r="2620">
      <c r="A2620" s="84" t="inlineStr">
        <is>
          <t xml:space="preserve">      "integrated": 1740,</t>
        </is>
      </c>
    </row>
    <row r="2621">
      <c r="A2621" s="84" t="inlineStr">
        <is>
          <t xml:space="preserve">      "dedicated": 3700,</t>
        </is>
      </c>
    </row>
    <row r="2622">
      <c r="A2622" s="84" t="inlineStr">
        <is>
          <t xml:space="preserve">      "short": 890</t>
        </is>
      </c>
    </row>
    <row r="2623">
      <c r="A2623" s="84" t="inlineStr">
        <is>
          <t xml:space="preserve">    },</t>
        </is>
      </c>
    </row>
    <row r="2624">
      <c r="A2624" s="84" t="inlineStr">
        <is>
          <t xml:space="preserve">    "avatarInitials": "IH",</t>
        </is>
      </c>
    </row>
    <row r="2625">
      <c r="A2625" s="84" t="inlineStr">
        <is>
          <t xml:space="preserve">    "avatarColor": "#7D3C98",</t>
        </is>
      </c>
    </row>
    <row r="2626">
      <c r="A2626" s="84" t="inlineStr">
        <is>
          <t xml:space="preserve">    "bio": "Quiet-luxury basics and cost-per-wear math.",</t>
        </is>
      </c>
    </row>
    <row r="2627">
      <c r="A2627" s="84" t="inlineStr">
        <is>
          <t xml:space="preserve">    "languages": [</t>
        </is>
      </c>
    </row>
    <row r="2628">
      <c r="A2628" s="84" t="inlineStr">
        <is>
          <t xml:space="preserve">      "English"</t>
        </is>
      </c>
    </row>
    <row r="2629">
      <c r="A2629" s="84" t="inlineStr">
        <is>
          <t xml:space="preserve">    ],</t>
        </is>
      </c>
    </row>
    <row r="2630">
      <c r="A2630" s="84" t="inlineStr">
        <is>
          <t xml:space="preserve">    "formatsOffered": [</t>
        </is>
      </c>
    </row>
    <row r="2631">
      <c r="A2631" s="84" t="inlineStr">
        <is>
          <t xml:space="preserve">      "Integrated",</t>
        </is>
      </c>
    </row>
    <row r="2632">
      <c r="A2632" s="84" t="inlineStr">
        <is>
          <t xml:space="preserve">      "Dedicated",</t>
        </is>
      </c>
    </row>
    <row r="2633">
      <c r="A2633" s="84" t="inlineStr">
        <is>
          <t xml:space="preserve">      "Short"</t>
        </is>
      </c>
    </row>
    <row r="2634">
      <c r="A2634" s="84" t="inlineStr">
        <is>
          <t xml:space="preserve">    ],</t>
        </is>
      </c>
    </row>
    <row r="2635">
      <c r="A2635" s="84" t="inlineStr">
        <is>
          <t xml:space="preserve">    "turnaroundDays": 14,</t>
        </is>
      </c>
    </row>
    <row r="2636">
      <c r="A2636" s="84" t="inlineStr">
        <is>
          <t xml:space="preserve">    "workedWith": [</t>
        </is>
      </c>
    </row>
    <row r="2637">
      <c r="A2637" s="84" t="inlineStr">
        <is>
          <t xml:space="preserve">      "Apparel",</t>
        </is>
      </c>
    </row>
    <row r="2638">
      <c r="A2638" s="84" t="inlineStr">
        <is>
          <t xml:space="preserve">      "Footwear"</t>
        </is>
      </c>
    </row>
    <row r="2639">
      <c r="A2639" s="84" t="inlineStr">
        <is>
          <t xml:space="preserve">    ],</t>
        </is>
      </c>
    </row>
    <row r="2640">
      <c r="A2640" s="84" t="inlineStr">
        <is>
          <t xml:space="preserve">    "recentVideos": [</t>
        </is>
      </c>
    </row>
    <row r="2641">
      <c r="A2641" s="84" t="inlineStr">
        <is>
          <t xml:space="preserve">      {</t>
        </is>
      </c>
    </row>
    <row r="2642">
      <c r="A2642" s="84" t="inlineStr">
        <is>
          <t xml:space="preserve">        "title": "What I Stopped Buying This Year",</t>
        </is>
      </c>
    </row>
    <row r="2643">
      <c r="A2643" s="84" t="inlineStr">
        <is>
          <t xml:space="preserve">        "daysAgo": 7,</t>
        </is>
      </c>
    </row>
    <row r="2644">
      <c r="A2644" s="84" t="inlineStr">
        <is>
          <t xml:space="preserve">        "views": 71000,</t>
        </is>
      </c>
    </row>
    <row r="2645">
      <c r="A2645" s="84" t="inlineStr">
        <is>
          <t xml:space="preserve">        "likes": 3180,</t>
        </is>
      </c>
    </row>
    <row r="2646">
      <c r="A2646" s="84" t="inlineStr">
        <is>
          <t xml:space="preserve">        "comments": 355,</t>
        </is>
      </c>
    </row>
    <row r="2647">
      <c r="A2647" s="84" t="inlineStr">
        <is>
          <t xml:space="preserve">        "hadSponsor": false,</t>
        </is>
      </c>
    </row>
    <row r="2648">
      <c r="A2648" s="84" t="inlineStr">
        <is>
          <t xml:space="preserve">        "topicTags": [</t>
        </is>
      </c>
    </row>
    <row r="2649">
      <c r="A2649" s="84" t="inlineStr">
        <is>
          <t xml:space="preserve">          "minimalist",</t>
        </is>
      </c>
    </row>
    <row r="2650">
      <c r="A2650" s="84" t="inlineStr">
        <is>
          <t xml:space="preserve">          "wardrobe",</t>
        </is>
      </c>
    </row>
    <row r="2651">
      <c r="A2651" s="84" t="inlineStr">
        <is>
          <t xml:space="preserve">          "honest"</t>
        </is>
      </c>
    </row>
    <row r="2652">
      <c r="A2652" s="84" t="inlineStr">
        <is>
          <t xml:space="preserve">        ]</t>
        </is>
      </c>
    </row>
    <row r="2653">
      <c r="A2653" s="84" t="inlineStr">
        <is>
          <t xml:space="preserve">      },</t>
        </is>
      </c>
    </row>
    <row r="2654">
      <c r="A2654" s="84" t="inlineStr">
        <is>
          <t xml:space="preserve">      {</t>
        </is>
      </c>
    </row>
    <row r="2655">
      <c r="A2655" s="84" t="inlineStr">
        <is>
          <t xml:space="preserve">        "title": "Styling One Dress Five Ways",</t>
        </is>
      </c>
    </row>
    <row r="2656">
      <c r="A2656" s="84" t="inlineStr">
        <is>
          <t xml:space="preserve">        "daysAgo": 12,</t>
        </is>
      </c>
    </row>
    <row r="2657">
      <c r="A2657" s="84" t="inlineStr">
        <is>
          <t xml:space="preserve">        "views": 51000,</t>
        </is>
      </c>
    </row>
    <row r="2658">
      <c r="A2658" s="84" t="inlineStr">
        <is>
          <t xml:space="preserve">        "likes": 2260,</t>
        </is>
      </c>
    </row>
    <row r="2659">
      <c r="A2659" s="84" t="inlineStr">
        <is>
          <t xml:space="preserve">        "comments": 250,</t>
        </is>
      </c>
    </row>
    <row r="2660">
      <c r="A2660" s="84" t="inlineStr">
        <is>
          <t xml:space="preserve">        "hadSponsor": true,</t>
        </is>
      </c>
    </row>
    <row r="2661">
      <c r="A2661" s="84" t="inlineStr">
        <is>
          <t xml:space="preserve">        "topicTags": [</t>
        </is>
      </c>
    </row>
    <row r="2662">
      <c r="A2662" s="84" t="inlineStr">
        <is>
          <t xml:space="preserve">          "styling",</t>
        </is>
      </c>
    </row>
    <row r="2663">
      <c r="A2663" s="84" t="inlineStr">
        <is>
          <t xml:space="preserve">          "versatile",</t>
        </is>
      </c>
    </row>
    <row r="2664">
      <c r="A2664" s="84" t="inlineStr">
        <is>
          <t xml:space="preserve">          "wardrobe"</t>
        </is>
      </c>
    </row>
    <row r="2665">
      <c r="A2665" s="84" t="inlineStr">
        <is>
          <t xml:space="preserve">        ]</t>
        </is>
      </c>
    </row>
    <row r="2666">
      <c r="A2666" s="84" t="inlineStr">
        <is>
          <t xml:space="preserve">      },</t>
        </is>
      </c>
    </row>
    <row r="2667">
      <c r="A2667" s="84" t="inlineStr">
        <is>
          <t xml:space="preserve">      {</t>
        </is>
      </c>
    </row>
    <row r="2668">
      <c r="A2668" s="84" t="inlineStr">
        <is>
          <t xml:space="preserve">        "title": "The Secondhand Finds Worth It",</t>
        </is>
      </c>
    </row>
    <row r="2669">
      <c r="A2669" s="84" t="inlineStr">
        <is>
          <t xml:space="preserve">        "daysAgo": 23,</t>
        </is>
      </c>
    </row>
    <row r="2670">
      <c r="A2670" s="84" t="inlineStr">
        <is>
          <t xml:space="preserve">        "views": 60000,</t>
        </is>
      </c>
    </row>
    <row r="2671">
      <c r="A2671" s="84" t="inlineStr">
        <is>
          <t xml:space="preserve">        "likes": 2680,</t>
        </is>
      </c>
    </row>
    <row r="2672">
      <c r="A2672" s="84" t="inlineStr">
        <is>
          <t xml:space="preserve">        "comments": 300,</t>
        </is>
      </c>
    </row>
    <row r="2673">
      <c r="A2673" s="84" t="inlineStr">
        <is>
          <t xml:space="preserve">        "hadSponsor": false,</t>
        </is>
      </c>
    </row>
    <row r="2674">
      <c r="A2674" s="84" t="inlineStr">
        <is>
          <t xml:space="preserve">        "topicTags": [</t>
        </is>
      </c>
    </row>
    <row r="2675">
      <c r="A2675" s="84" t="inlineStr">
        <is>
          <t xml:space="preserve">          "thrift",</t>
        </is>
      </c>
    </row>
    <row r="2676">
      <c r="A2676" s="84" t="inlineStr">
        <is>
          <t xml:space="preserve">          "resale",</t>
        </is>
      </c>
    </row>
    <row r="2677">
      <c r="A2677" s="84" t="inlineStr">
        <is>
          <t xml:space="preserve">          "haul"</t>
        </is>
      </c>
    </row>
    <row r="2678">
      <c r="A2678" s="84" t="inlineStr">
        <is>
          <t xml:space="preserve">        ]</t>
        </is>
      </c>
    </row>
    <row r="2679">
      <c r="A2679" s="84" t="inlineStr">
        <is>
          <t xml:space="preserve">      }</t>
        </is>
      </c>
    </row>
    <row r="2680">
      <c r="A2680" s="84" t="inlineStr">
        <is>
          <t xml:space="preserve">    ]</t>
        </is>
      </c>
    </row>
    <row r="2681">
      <c r="A2681" s="84" t="inlineStr">
        <is>
          <t xml:space="preserve">  },</t>
        </is>
      </c>
    </row>
    <row r="2682">
      <c r="A2682" s="84" t="inlineStr">
        <is>
          <t xml:space="preserve">  {</t>
        </is>
      </c>
    </row>
    <row r="2683">
      <c r="A2683" s="84" t="inlineStr">
        <is>
          <t xml:space="preserve">    "id": "colin-hayes",</t>
        </is>
      </c>
    </row>
    <row r="2684">
      <c r="A2684" s="84" t="inlineStr">
        <is>
          <t xml:space="preserve">    "name": "Colin Hayes",</t>
        </is>
      </c>
    </row>
    <row r="2685">
      <c r="A2685" s="84" t="inlineStr">
        <is>
          <t xml:space="preserve">    "handle": "@colintrailtested",</t>
        </is>
      </c>
    </row>
    <row r="2686">
      <c r="A2686" s="84" t="inlineStr">
        <is>
          <t xml:space="preserve">    "category": "Outdoor &amp; Gear",</t>
        </is>
      </c>
    </row>
    <row r="2687">
      <c r="A2687" s="84" t="inlineStr">
        <is>
          <t xml:space="preserve">    "tier": "Micro",</t>
        </is>
      </c>
    </row>
    <row r="2688">
      <c r="A2688" s="84" t="inlineStr">
        <is>
          <t xml:space="preserve">    "subscribers": 63000,</t>
        </is>
      </c>
    </row>
    <row r="2689">
      <c r="A2689" s="84" t="inlineStr">
        <is>
          <t xml:space="preserve">    "avgViews": 32000,</t>
        </is>
      </c>
    </row>
    <row r="2690">
      <c r="A2690" s="84" t="inlineStr">
        <is>
          <t xml:space="preserve">    "engagementRate": 0.078,</t>
        </is>
      </c>
    </row>
    <row r="2691">
      <c r="A2691" s="84" t="inlineStr">
        <is>
          <t xml:space="preserve">    "channelVerified": true,</t>
        </is>
      </c>
    </row>
    <row r="2692">
      <c r="A2692" s="84" t="inlineStr">
        <is>
          <t xml:space="preserve">    "safetyScore": 95,</t>
        </is>
      </c>
    </row>
    <row r="2693">
      <c r="A2693" s="84" t="inlineStr">
        <is>
          <t xml:space="preserve">    "audienceAge": "25-44",</t>
        </is>
      </c>
    </row>
    <row r="2694">
      <c r="A2694" s="84" t="inlineStr">
        <is>
          <t xml:space="preserve">    "audienceGender": "71% M",</t>
        </is>
      </c>
    </row>
    <row r="2695">
      <c r="A2695" s="84" t="inlineStr">
        <is>
          <t xml:space="preserve">    "topCountry": "US",</t>
        </is>
      </c>
    </row>
    <row r="2696">
      <c r="A2696" s="84" t="inlineStr">
        <is>
          <t xml:space="preserve">    "uploadCadence": "1 / week",</t>
        </is>
      </c>
    </row>
    <row r="2697">
      <c r="A2697" s="84" t="inlineStr">
        <is>
          <t xml:space="preserve">    "avgLengthMin": 18,</t>
        </is>
      </c>
    </row>
    <row r="2698">
      <c r="A2698" s="84" t="inlineStr">
        <is>
          <t xml:space="preserve">    "rates": {</t>
        </is>
      </c>
    </row>
    <row r="2699">
      <c r="A2699" s="84" t="inlineStr">
        <is>
          <t xml:space="preserve">      "integrated": 1180,</t>
        </is>
      </c>
    </row>
    <row r="2700">
      <c r="A2700" s="84" t="inlineStr">
        <is>
          <t xml:space="preserve">      "dedicated": 2500,</t>
        </is>
      </c>
    </row>
    <row r="2701">
      <c r="A2701" s="84" t="inlineStr">
        <is>
          <t xml:space="preserve">      "short": 600</t>
        </is>
      </c>
    </row>
    <row r="2702">
      <c r="A2702" s="84" t="inlineStr">
        <is>
          <t xml:space="preserve">    },</t>
        </is>
      </c>
    </row>
    <row r="2703">
      <c r="A2703" s="84" t="inlineStr">
        <is>
          <t xml:space="preserve">    "avatarInitials": "CH",</t>
        </is>
      </c>
    </row>
    <row r="2704">
      <c r="A2704" s="84" t="inlineStr">
        <is>
          <t xml:space="preserve">    "avatarColor": "#1F618D",</t>
        </is>
      </c>
    </row>
    <row r="2705">
      <c r="A2705" s="84" t="inlineStr">
        <is>
          <t xml:space="preserve">    "bio": "Backpacking gear tested over real miles, not a driveway.",</t>
        </is>
      </c>
    </row>
    <row r="2706">
      <c r="A2706" s="84" t="inlineStr">
        <is>
          <t xml:space="preserve">    "languages": [</t>
        </is>
      </c>
    </row>
    <row r="2707">
      <c r="A2707" s="84" t="inlineStr">
        <is>
          <t xml:space="preserve">      "English"</t>
        </is>
      </c>
    </row>
    <row r="2708">
      <c r="A2708" s="84" t="inlineStr">
        <is>
          <t xml:space="preserve">    ],</t>
        </is>
      </c>
    </row>
    <row r="2709">
      <c r="A2709" s="84" t="inlineStr">
        <is>
          <t xml:space="preserve">    "formatsOffered": [</t>
        </is>
      </c>
    </row>
    <row r="2710">
      <c r="A2710" s="84" t="inlineStr">
        <is>
          <t xml:space="preserve">      "Integrated",</t>
        </is>
      </c>
    </row>
    <row r="2711">
      <c r="A2711" s="84" t="inlineStr">
        <is>
          <t xml:space="preserve">      "Dedicated",</t>
        </is>
      </c>
    </row>
    <row r="2712">
      <c r="A2712" s="84" t="inlineStr">
        <is>
          <t xml:space="preserve">      "Short"</t>
        </is>
      </c>
    </row>
    <row r="2713">
      <c r="A2713" s="84" t="inlineStr">
        <is>
          <t xml:space="preserve">    ],</t>
        </is>
      </c>
    </row>
    <row r="2714">
      <c r="A2714" s="84" t="inlineStr">
        <is>
          <t xml:space="preserve">    "turnaroundDays": 21,</t>
        </is>
      </c>
    </row>
    <row r="2715">
      <c r="A2715" s="84" t="inlineStr">
        <is>
          <t xml:space="preserve">    "workedWith": [</t>
        </is>
      </c>
    </row>
    <row r="2716">
      <c r="A2716" s="84" t="inlineStr">
        <is>
          <t xml:space="preserve">      "Outdoor Gear",</t>
        </is>
      </c>
    </row>
    <row r="2717">
      <c r="A2717" s="84" t="inlineStr">
        <is>
          <t xml:space="preserve">      "Footwear"</t>
        </is>
      </c>
    </row>
    <row r="2718">
      <c r="A2718" s="84" t="inlineStr">
        <is>
          <t xml:space="preserve">    ],</t>
        </is>
      </c>
    </row>
    <row r="2719">
      <c r="A2719" s="84" t="inlineStr">
        <is>
          <t xml:space="preserve">    "recentVideos": [</t>
        </is>
      </c>
    </row>
    <row r="2720">
      <c r="A2720" s="84" t="inlineStr">
        <is>
          <t xml:space="preserve">      {</t>
        </is>
      </c>
    </row>
    <row r="2721">
      <c r="A2721" s="84" t="inlineStr">
        <is>
          <t xml:space="preserve">        "title": "6 Miles on This Tent — Honest Review",</t>
        </is>
      </c>
    </row>
    <row r="2722">
      <c r="A2722" s="84" t="inlineStr">
        <is>
          <t xml:space="preserve">        "daysAgo": 5,</t>
        </is>
      </c>
    </row>
    <row r="2723">
      <c r="A2723" s="84" t="inlineStr">
        <is>
          <t xml:space="preserve">        "views": 40000,</t>
        </is>
      </c>
    </row>
    <row r="2724">
      <c r="A2724" s="84" t="inlineStr">
        <is>
          <t xml:space="preserve">        "likes": 2810,</t>
        </is>
      </c>
    </row>
    <row r="2725">
      <c r="A2725" s="84" t="inlineStr">
        <is>
          <t xml:space="preserve">        "comments": 310,</t>
        </is>
      </c>
    </row>
    <row r="2726">
      <c r="A2726" s="84" t="inlineStr">
        <is>
          <t xml:space="preserve">        "hadSponsor": false,</t>
        </is>
      </c>
    </row>
    <row r="2727">
      <c r="A2727" s="84" t="inlineStr">
        <is>
          <t xml:space="preserve">        "topicTags": [</t>
        </is>
      </c>
    </row>
    <row r="2728">
      <c r="A2728" s="84" t="inlineStr">
        <is>
          <t xml:space="preserve">          "gear",</t>
        </is>
      </c>
    </row>
    <row r="2729">
      <c r="A2729" s="84" t="inlineStr">
        <is>
          <t xml:space="preserve">          "review",</t>
        </is>
      </c>
    </row>
    <row r="2730">
      <c r="A2730" s="84" t="inlineStr">
        <is>
          <t xml:space="preserve">          "long-term"</t>
        </is>
      </c>
    </row>
    <row r="2731">
      <c r="A2731" s="84" t="inlineStr">
        <is>
          <t xml:space="preserve">        ]</t>
        </is>
      </c>
    </row>
    <row r="2732">
      <c r="A2732" s="84" t="inlineStr">
        <is>
          <t xml:space="preserve">      },</t>
        </is>
      </c>
    </row>
    <row r="2733">
      <c r="A2733" s="84" t="inlineStr">
        <is>
          <t xml:space="preserve">      {</t>
        </is>
      </c>
    </row>
    <row r="2734">
      <c r="A2734" s="84" t="inlineStr">
        <is>
          <t xml:space="preserve">        "title": "Ultralight Setup That Actually Works",</t>
        </is>
      </c>
    </row>
    <row r="2735">
      <c r="A2735" s="84" t="inlineStr">
        <is>
          <t xml:space="preserve">        "daysAgo": 14,</t>
        </is>
      </c>
    </row>
    <row r="2736">
      <c r="A2736" s="84" t="inlineStr">
        <is>
          <t xml:space="preserve">        "views": 29000,</t>
        </is>
      </c>
    </row>
    <row r="2737">
      <c r="A2737" s="84" t="inlineStr">
        <is>
          <t xml:space="preserve">        "likes": 2020,</t>
        </is>
      </c>
    </row>
    <row r="2738">
      <c r="A2738" s="84" t="inlineStr">
        <is>
          <t xml:space="preserve">        "comments": 225,</t>
        </is>
      </c>
    </row>
    <row r="2739">
      <c r="A2739" s="84" t="inlineStr">
        <is>
          <t xml:space="preserve">        "hadSponsor": false,</t>
        </is>
      </c>
    </row>
    <row r="2740">
      <c r="A2740" s="84" t="inlineStr">
        <is>
          <t xml:space="preserve">        "topicTags": [</t>
        </is>
      </c>
    </row>
    <row r="2741">
      <c r="A2741" s="84" t="inlineStr">
        <is>
          <t xml:space="preserve">          "ultralight",</t>
        </is>
      </c>
    </row>
    <row r="2742">
      <c r="A2742" s="84" t="inlineStr">
        <is>
          <t xml:space="preserve">          "gear",</t>
        </is>
      </c>
    </row>
    <row r="2743">
      <c r="A2743" s="84" t="inlineStr">
        <is>
          <t xml:space="preserve">          "backpacking"</t>
        </is>
      </c>
    </row>
    <row r="2744">
      <c r="A2744" s="84" t="inlineStr">
        <is>
          <t xml:space="preserve">        ]</t>
        </is>
      </c>
    </row>
    <row r="2745">
      <c r="A2745" s="84" t="inlineStr">
        <is>
          <t xml:space="preserve">      },</t>
        </is>
      </c>
    </row>
    <row r="2746">
      <c r="A2746" s="84" t="inlineStr">
        <is>
          <t xml:space="preserve">      {</t>
        </is>
      </c>
    </row>
    <row r="2747">
      <c r="A2747" s="84" t="inlineStr">
        <is>
          <t xml:space="preserve">        "title": "Gear I Regret Buying",</t>
        </is>
      </c>
    </row>
    <row r="2748">
      <c r="A2748" s="84" t="inlineStr">
        <is>
          <t xml:space="preserve">        "daysAgo": 26,</t>
        </is>
      </c>
    </row>
    <row r="2749">
      <c r="A2749" s="84" t="inlineStr">
        <is>
          <t xml:space="preserve">        "views": 34000,</t>
        </is>
      </c>
    </row>
    <row r="2750">
      <c r="A2750" s="84" t="inlineStr">
        <is>
          <t xml:space="preserve">        "likes": 2410,</t>
        </is>
      </c>
    </row>
    <row r="2751">
      <c r="A2751" s="84" t="inlineStr">
        <is>
          <t xml:space="preserve">        "comments": 270,</t>
        </is>
      </c>
    </row>
    <row r="2752">
      <c r="A2752" s="84" t="inlineStr">
        <is>
          <t xml:space="preserve">        "hadSponsor": false,</t>
        </is>
      </c>
    </row>
    <row r="2753">
      <c r="A2753" s="84" t="inlineStr">
        <is>
          <t xml:space="preserve">        "topicTags": [</t>
        </is>
      </c>
    </row>
    <row r="2754">
      <c r="A2754" s="84" t="inlineStr">
        <is>
          <t xml:space="preserve">          "gear",</t>
        </is>
      </c>
    </row>
    <row r="2755">
      <c r="A2755" s="84" t="inlineStr">
        <is>
          <t xml:space="preserve">          "review",</t>
        </is>
      </c>
    </row>
    <row r="2756">
      <c r="A2756" s="84" t="inlineStr">
        <is>
          <t xml:space="preserve">          "honest"</t>
        </is>
      </c>
    </row>
    <row r="2757">
      <c r="A2757" s="84" t="inlineStr">
        <is>
          <t xml:space="preserve">        ]</t>
        </is>
      </c>
    </row>
    <row r="2758">
      <c r="A2758" s="84" t="inlineStr">
        <is>
          <t xml:space="preserve">      }</t>
        </is>
      </c>
    </row>
    <row r="2759">
      <c r="A2759" s="84" t="inlineStr">
        <is>
          <t xml:space="preserve">    ]</t>
        </is>
      </c>
    </row>
    <row r="2760">
      <c r="A2760" s="84" t="inlineStr">
        <is>
          <t xml:space="preserve">  },</t>
        </is>
      </c>
    </row>
    <row r="2761">
      <c r="A2761" s="84" t="inlineStr">
        <is>
          <t xml:space="preserve">  {</t>
        </is>
      </c>
    </row>
    <row r="2762">
      <c r="A2762" s="84" t="inlineStr">
        <is>
          <t xml:space="preserve">    "id": "felix-berger",</t>
        </is>
      </c>
    </row>
    <row r="2763">
      <c r="A2763" s="84" t="inlineStr">
        <is>
          <t xml:space="preserve">    "name": "Felix Berger",</t>
        </is>
      </c>
    </row>
    <row r="2764">
      <c r="A2764" s="84" t="inlineStr">
        <is>
          <t xml:space="preserve">    "handle": "@felixaufberg",</t>
        </is>
      </c>
    </row>
    <row r="2765">
      <c r="A2765" s="84" t="inlineStr">
        <is>
          <t xml:space="preserve">    "category": "Outdoor &amp; Gear",</t>
        </is>
      </c>
    </row>
    <row r="2766">
      <c r="A2766" s="84" t="inlineStr">
        <is>
          <t xml:space="preserve">    "tier": "Nano",</t>
        </is>
      </c>
    </row>
    <row r="2767">
      <c r="A2767" s="84" t="inlineStr">
        <is>
          <t xml:space="preserve">    "subscribers": 7600,</t>
        </is>
      </c>
    </row>
    <row r="2768">
      <c r="A2768" s="84" t="inlineStr">
        <is>
          <t xml:space="preserve">    "avgViews": 5000,</t>
        </is>
      </c>
    </row>
    <row r="2769">
      <c r="A2769" s="84" t="inlineStr">
        <is>
          <t xml:space="preserve">    "engagementRate": 0.101,</t>
        </is>
      </c>
    </row>
    <row r="2770">
      <c r="A2770" s="84" t="inlineStr">
        <is>
          <t xml:space="preserve">    "channelVerified": false,</t>
        </is>
      </c>
    </row>
    <row r="2771">
      <c r="A2771" s="84" t="inlineStr">
        <is>
          <t xml:space="preserve">    "safetyScore": 93,</t>
        </is>
      </c>
    </row>
    <row r="2772">
      <c r="A2772" s="84" t="inlineStr">
        <is>
          <t xml:space="preserve">    "audienceAge": "25-44",</t>
        </is>
      </c>
    </row>
    <row r="2773">
      <c r="A2773" s="84" t="inlineStr">
        <is>
          <t xml:space="preserve">    "audienceGender": "74% M",</t>
        </is>
      </c>
    </row>
    <row r="2774">
      <c r="A2774" s="84" t="inlineStr">
        <is>
          <t xml:space="preserve">    "topCountry": "DE",</t>
        </is>
      </c>
    </row>
    <row r="2775">
      <c r="A2775" s="84" t="inlineStr">
        <is>
          <t xml:space="preserve">    "uploadCadence": "1 / week",</t>
        </is>
      </c>
    </row>
    <row r="2776">
      <c r="A2776" s="84" t="inlineStr">
        <is>
          <t xml:space="preserve">    "avgLengthMin": 16,</t>
        </is>
      </c>
    </row>
    <row r="2777">
      <c r="A2777" s="84" t="inlineStr">
        <is>
          <t xml:space="preserve">    "rates": {</t>
        </is>
      </c>
    </row>
    <row r="2778">
      <c r="A2778" s="84" t="inlineStr">
        <is>
          <t xml:space="preserve">      "integrated": 240,</t>
        </is>
      </c>
    </row>
    <row r="2779">
      <c r="A2779" s="84" t="inlineStr">
        <is>
          <t xml:space="preserve">      "dedicated": 500,</t>
        </is>
      </c>
    </row>
    <row r="2780">
      <c r="A2780" s="84" t="inlineStr">
        <is>
          <t xml:space="preserve">      "short": 120</t>
        </is>
      </c>
    </row>
    <row r="2781">
      <c r="A2781" s="84" t="inlineStr">
        <is>
          <t xml:space="preserve">    },</t>
        </is>
      </c>
    </row>
    <row r="2782">
      <c r="A2782" s="84" t="inlineStr">
        <is>
          <t xml:space="preserve">    "avatarInitials": "FB",</t>
        </is>
      </c>
    </row>
    <row r="2783">
      <c r="A2783" s="84" t="inlineStr">
        <is>
          <t xml:space="preserve">    "avatarColor": "#2874A6",</t>
        </is>
      </c>
    </row>
    <row r="2784">
      <c r="A2784" s="84" t="inlineStr">
        <is>
          <t xml:space="preserve">    "bio": "Alpine hiking and ultralight setups from the Bavarian Alps.",</t>
        </is>
      </c>
    </row>
    <row r="2785">
      <c r="A2785" s="84" t="inlineStr">
        <is>
          <t xml:space="preserve">    "languages": [</t>
        </is>
      </c>
    </row>
    <row r="2786">
      <c r="A2786" s="84" t="inlineStr">
        <is>
          <t xml:space="preserve">      "German",</t>
        </is>
      </c>
    </row>
    <row r="2787">
      <c r="A2787" s="84" t="inlineStr">
        <is>
          <t xml:space="preserve">      "English"</t>
        </is>
      </c>
    </row>
    <row r="2788">
      <c r="A2788" s="84" t="inlineStr">
        <is>
          <t xml:space="preserve">    ],</t>
        </is>
      </c>
    </row>
    <row r="2789">
      <c r="A2789" s="84" t="inlineStr">
        <is>
          <t xml:space="preserve">    "formatsOffered": [</t>
        </is>
      </c>
    </row>
    <row r="2790">
      <c r="A2790" s="84" t="inlineStr">
        <is>
          <t xml:space="preserve">      "Integrated",</t>
        </is>
      </c>
    </row>
    <row r="2791">
      <c r="A2791" s="84" t="inlineStr">
        <is>
          <t xml:space="preserve">      "Dedicated",</t>
        </is>
      </c>
    </row>
    <row r="2792">
      <c r="A2792" s="84" t="inlineStr">
        <is>
          <t xml:space="preserve">      "Short"</t>
        </is>
      </c>
    </row>
    <row r="2793">
      <c r="A2793" s="84" t="inlineStr">
        <is>
          <t xml:space="preserve">    ],</t>
        </is>
      </c>
    </row>
    <row r="2794">
      <c r="A2794" s="84" t="inlineStr">
        <is>
          <t xml:space="preserve">    "turnaroundDays": 14,</t>
        </is>
      </c>
    </row>
    <row r="2795">
      <c r="A2795" s="84" t="inlineStr">
        <is>
          <t xml:space="preserve">    "workedWith": [</t>
        </is>
      </c>
    </row>
    <row r="2796">
      <c r="A2796" s="84" t="inlineStr">
        <is>
          <t xml:space="preserve">      "Outdoor Gear",</t>
        </is>
      </c>
    </row>
    <row r="2797">
      <c r="A2797" s="84" t="inlineStr">
        <is>
          <t xml:space="preserve">      "Apparel"</t>
        </is>
      </c>
    </row>
    <row r="2798">
      <c r="A2798" s="84" t="inlineStr">
        <is>
          <t xml:space="preserve">    ],</t>
        </is>
      </c>
    </row>
    <row r="2799">
      <c r="A2799" s="84" t="inlineStr">
        <is>
          <t xml:space="preserve">    "recentVideos": [</t>
        </is>
      </c>
    </row>
    <row r="2800">
      <c r="A2800" s="84" t="inlineStr">
        <is>
          <t xml:space="preserve">      {</t>
        </is>
      </c>
    </row>
    <row r="2801">
      <c r="A2801" s="84" t="inlineStr">
        <is>
          <t xml:space="preserve">        "title": "Testing Budget vs Premium Tent",</t>
        </is>
      </c>
    </row>
    <row r="2802">
      <c r="A2802" s="84" t="inlineStr">
        <is>
          <t xml:space="preserve">        "daysAgo": 3,</t>
        </is>
      </c>
    </row>
    <row r="2803">
      <c r="A2803" s="84" t="inlineStr">
        <is>
          <t xml:space="preserve">        "views": 6000,</t>
        </is>
      </c>
    </row>
    <row r="2804">
      <c r="A2804" s="84" t="inlineStr">
        <is>
          <t xml:space="preserve">        "likes": 580,</t>
        </is>
      </c>
    </row>
    <row r="2805">
      <c r="A2805" s="84" t="inlineStr">
        <is>
          <t xml:space="preserve">        "comments": 65,</t>
        </is>
      </c>
    </row>
    <row r="2806">
      <c r="A2806" s="84" t="inlineStr">
        <is>
          <t xml:space="preserve">        "hadSponsor": false,</t>
        </is>
      </c>
    </row>
    <row r="2807">
      <c r="A2807" s="84" t="inlineStr">
        <is>
          <t xml:space="preserve">        "topicTags": [</t>
        </is>
      </c>
    </row>
    <row r="2808">
      <c r="A2808" s="84" t="inlineStr">
        <is>
          <t xml:space="preserve">          "comparison",</t>
        </is>
      </c>
    </row>
    <row r="2809">
      <c r="A2809" s="84" t="inlineStr">
        <is>
          <t xml:space="preserve">          "value",</t>
        </is>
      </c>
    </row>
    <row r="2810">
      <c r="A2810" s="84" t="inlineStr">
        <is>
          <t xml:space="preserve">          "gear"</t>
        </is>
      </c>
    </row>
    <row r="2811">
      <c r="A2811" s="84" t="inlineStr">
        <is>
          <t xml:space="preserve">        ]</t>
        </is>
      </c>
    </row>
    <row r="2812">
      <c r="A2812" s="84" t="inlineStr">
        <is>
          <t xml:space="preserve">      },</t>
        </is>
      </c>
    </row>
    <row r="2813">
      <c r="A2813" s="84" t="inlineStr">
        <is>
          <t xml:space="preserve">      {</t>
        </is>
      </c>
    </row>
    <row r="2814">
      <c r="A2814" s="84" t="inlineStr">
        <is>
          <t xml:space="preserve">        "title": "My Overnight Kit, Explained",</t>
        </is>
      </c>
    </row>
    <row r="2815">
      <c r="A2815" s="84" t="inlineStr">
        <is>
          <t xml:space="preserve">        "daysAgo": 14,</t>
        </is>
      </c>
    </row>
    <row r="2816">
      <c r="A2816" s="84" t="inlineStr">
        <is>
          <t xml:space="preserve">        "views": 4000,</t>
        </is>
      </c>
    </row>
    <row r="2817">
      <c r="A2817" s="84" t="inlineStr">
        <is>
          <t xml:space="preserve">        "likes": 360,</t>
        </is>
      </c>
    </row>
    <row r="2818">
      <c r="A2818" s="84" t="inlineStr">
        <is>
          <t xml:space="preserve">        "comments": 40,</t>
        </is>
      </c>
    </row>
    <row r="2819">
      <c r="A2819" s="84" t="inlineStr">
        <is>
          <t xml:space="preserve">        "hadSponsor": false,</t>
        </is>
      </c>
    </row>
    <row r="2820">
      <c r="A2820" s="84" t="inlineStr">
        <is>
          <t xml:space="preserve">        "topicTags": [</t>
        </is>
      </c>
    </row>
    <row r="2821">
      <c r="A2821" s="84" t="inlineStr">
        <is>
          <t xml:space="preserve">          "gear",</t>
        </is>
      </c>
    </row>
    <row r="2822">
      <c r="A2822" s="84" t="inlineStr">
        <is>
          <t xml:space="preserve">          "setup",</t>
        </is>
      </c>
    </row>
    <row r="2823">
      <c r="A2823" s="84" t="inlineStr">
        <is>
          <t xml:space="preserve">          "backpacking"</t>
        </is>
      </c>
    </row>
    <row r="2824">
      <c r="A2824" s="84" t="inlineStr">
        <is>
          <t xml:space="preserve">        ]</t>
        </is>
      </c>
    </row>
    <row r="2825">
      <c r="A2825" s="84" t="inlineStr">
        <is>
          <t xml:space="preserve">      },</t>
        </is>
      </c>
    </row>
    <row r="2826">
      <c r="A2826" s="84" t="inlineStr">
        <is>
          <t xml:space="preserve">      {</t>
        </is>
      </c>
    </row>
    <row r="2827">
      <c r="A2827" s="84" t="inlineStr">
        <is>
          <t xml:space="preserve">        "title": "What Failed on a 3-Day Trip",</t>
        </is>
      </c>
    </row>
    <row r="2828">
      <c r="A2828" s="84" t="inlineStr">
        <is>
          <t xml:space="preserve">        "daysAgo": 29,</t>
        </is>
      </c>
    </row>
    <row r="2829">
      <c r="A2829" s="84" t="inlineStr">
        <is>
          <t xml:space="preserve">        "views": 5000,</t>
        </is>
      </c>
    </row>
    <row r="2830">
      <c r="A2830" s="84" t="inlineStr">
        <is>
          <t xml:space="preserve">        "likes": 470,</t>
        </is>
      </c>
    </row>
    <row r="2831">
      <c r="A2831" s="84" t="inlineStr">
        <is>
          <t xml:space="preserve">        "comments": 50,</t>
        </is>
      </c>
    </row>
    <row r="2832">
      <c r="A2832" s="84" t="inlineStr">
        <is>
          <t xml:space="preserve">        "hadSponsor": false,</t>
        </is>
      </c>
    </row>
    <row r="2833">
      <c r="A2833" s="84" t="inlineStr">
        <is>
          <t xml:space="preserve">        "topicTags": [</t>
        </is>
      </c>
    </row>
    <row r="2834">
      <c r="A2834" s="84" t="inlineStr">
        <is>
          <t xml:space="preserve">          "gear",</t>
        </is>
      </c>
    </row>
    <row r="2835">
      <c r="A2835" s="84" t="inlineStr">
        <is>
          <t xml:space="preserve">          "review",</t>
        </is>
      </c>
    </row>
    <row r="2836">
      <c r="A2836" s="84" t="inlineStr">
        <is>
          <t xml:space="preserve">          "durability"</t>
        </is>
      </c>
    </row>
    <row r="2837">
      <c r="A2837" s="84" t="inlineStr">
        <is>
          <t xml:space="preserve">        ]</t>
        </is>
      </c>
    </row>
    <row r="2838">
      <c r="A2838" s="84" t="inlineStr">
        <is>
          <t xml:space="preserve">      }</t>
        </is>
      </c>
    </row>
    <row r="2839">
      <c r="A2839" s="84" t="inlineStr">
        <is>
          <t xml:space="preserve">    ]</t>
        </is>
      </c>
    </row>
    <row r="2840">
      <c r="A2840" s="84" t="inlineStr">
        <is>
          <t xml:space="preserve">  },</t>
        </is>
      </c>
    </row>
    <row r="2841">
      <c r="A2841" s="84" t="inlineStr">
        <is>
          <t xml:space="preserve">  {</t>
        </is>
      </c>
    </row>
    <row r="2842">
      <c r="A2842" s="84" t="inlineStr">
        <is>
          <t xml:space="preserve">    "id": "wei-lin",</t>
        </is>
      </c>
    </row>
    <row r="2843">
      <c r="A2843" s="84" t="inlineStr">
        <is>
          <t xml:space="preserve">    "name": "Wei Lin",</t>
        </is>
      </c>
    </row>
    <row r="2844">
      <c r="A2844" s="84" t="inlineStr">
        <is>
          <t xml:space="preserve">    "handle": "@weitechbench",</t>
        </is>
      </c>
    </row>
    <row r="2845">
      <c r="A2845" s="84" t="inlineStr">
        <is>
          <t xml:space="preserve">    "category": "Tech Reviews",</t>
        </is>
      </c>
    </row>
    <row r="2846">
      <c r="A2846" s="84" t="inlineStr">
        <is>
          <t xml:space="preserve">    "tier": "Micro",</t>
        </is>
      </c>
    </row>
    <row r="2847">
      <c r="A2847" s="84" t="inlineStr">
        <is>
          <t xml:space="preserve">    "subscribers": 88000,</t>
        </is>
      </c>
    </row>
    <row r="2848">
      <c r="A2848" s="84" t="inlineStr">
        <is>
          <t xml:space="preserve">    "avgViews": 43000,</t>
        </is>
      </c>
    </row>
    <row r="2849">
      <c r="A2849" s="84" t="inlineStr">
        <is>
          <t xml:space="preserve">    "engagementRate": 0.061,</t>
        </is>
      </c>
    </row>
    <row r="2850">
      <c r="A2850" s="84" t="inlineStr">
        <is>
          <t xml:space="preserve">    "channelVerified": true,</t>
        </is>
      </c>
    </row>
    <row r="2851">
      <c r="A2851" s="84" t="inlineStr">
        <is>
          <t xml:space="preserve">    "safetyScore": 91,</t>
        </is>
      </c>
    </row>
    <row r="2852">
      <c r="A2852" s="84" t="inlineStr">
        <is>
          <t xml:space="preserve">    "audienceAge": "18-34",</t>
        </is>
      </c>
    </row>
    <row r="2853">
      <c r="A2853" s="84" t="inlineStr">
        <is>
          <t xml:space="preserve">    "audienceGender": "70% M",</t>
        </is>
      </c>
    </row>
    <row r="2854">
      <c r="A2854" s="84" t="inlineStr">
        <is>
          <t xml:space="preserve">    "topCountry": "US",</t>
        </is>
      </c>
    </row>
    <row r="2855">
      <c r="A2855" s="84" t="inlineStr">
        <is>
          <t xml:space="preserve">    "uploadCadence": "2 / week",</t>
        </is>
      </c>
    </row>
    <row r="2856">
      <c r="A2856" s="84" t="inlineStr">
        <is>
          <t xml:space="preserve">    "avgLengthMin": 15,</t>
        </is>
      </c>
    </row>
    <row r="2857">
      <c r="A2857" s="84" t="inlineStr">
        <is>
          <t xml:space="preserve">    "rates": {</t>
        </is>
      </c>
    </row>
    <row r="2858">
      <c r="A2858" s="84" t="inlineStr">
        <is>
          <t xml:space="preserve">      "integrated": 1570,</t>
        </is>
      </c>
    </row>
    <row r="2859">
      <c r="A2859" s="84" t="inlineStr">
        <is>
          <t xml:space="preserve">      "dedicated": 3350,</t>
        </is>
      </c>
    </row>
    <row r="2860">
      <c r="A2860" s="84" t="inlineStr">
        <is>
          <t xml:space="preserve">      "short": 800</t>
        </is>
      </c>
    </row>
    <row r="2861">
      <c r="A2861" s="84" t="inlineStr">
        <is>
          <t xml:space="preserve">    },</t>
        </is>
      </c>
    </row>
    <row r="2862">
      <c r="A2862" s="84" t="inlineStr">
        <is>
          <t xml:space="preserve">    "avatarInitials": "WL",</t>
        </is>
      </c>
    </row>
    <row r="2863">
      <c r="A2863" s="84" t="inlineStr">
        <is>
          <t xml:space="preserve">    "avatarColor": "#34495E",</t>
        </is>
      </c>
    </row>
    <row r="2864">
      <c r="A2864" s="84" t="inlineStr">
        <is>
          <t xml:space="preserve">    "bio": "Component-level reviews with the benchmarks nobody else runs.",</t>
        </is>
      </c>
    </row>
    <row r="2865">
      <c r="A2865" s="84" t="inlineStr">
        <is>
          <t xml:space="preserve">    "languages": [</t>
        </is>
      </c>
    </row>
    <row r="2866">
      <c r="A2866" s="84" t="inlineStr">
        <is>
          <t xml:space="preserve">      "English",</t>
        </is>
      </c>
    </row>
    <row r="2867">
      <c r="A2867" s="84" t="inlineStr">
        <is>
          <t xml:space="preserve">      "Mandarin"</t>
        </is>
      </c>
    </row>
    <row r="2868">
      <c r="A2868" s="84" t="inlineStr">
        <is>
          <t xml:space="preserve">    ],</t>
        </is>
      </c>
    </row>
    <row r="2869">
      <c r="A2869" s="84" t="inlineStr">
        <is>
          <t xml:space="preserve">    "formatsOffered": [</t>
        </is>
      </c>
    </row>
    <row r="2870">
      <c r="A2870" s="84" t="inlineStr">
        <is>
          <t xml:space="preserve">      "Integrated",</t>
        </is>
      </c>
    </row>
    <row r="2871">
      <c r="A2871" s="84" t="inlineStr">
        <is>
          <t xml:space="preserve">      "Dedicated",</t>
        </is>
      </c>
    </row>
    <row r="2872">
      <c r="A2872" s="84" t="inlineStr">
        <is>
          <t xml:space="preserve">      "Short"</t>
        </is>
      </c>
    </row>
    <row r="2873">
      <c r="A2873" s="84" t="inlineStr">
        <is>
          <t xml:space="preserve">    ],</t>
        </is>
      </c>
    </row>
    <row r="2874">
      <c r="A2874" s="84" t="inlineStr">
        <is>
          <t xml:space="preserve">    "turnaroundDays": 12,</t>
        </is>
      </c>
    </row>
    <row r="2875">
      <c r="A2875" s="84" t="inlineStr">
        <is>
          <t xml:space="preserve">    "workedWith": [</t>
        </is>
      </c>
    </row>
    <row r="2876">
      <c r="A2876" s="84" t="inlineStr">
        <is>
          <t xml:space="preserve">      "Consumer Electronics",</t>
        </is>
      </c>
    </row>
    <row r="2877">
      <c r="A2877" s="84" t="inlineStr">
        <is>
          <t xml:space="preserve">      "Accessories"</t>
        </is>
      </c>
    </row>
    <row r="2878">
      <c r="A2878" s="84" t="inlineStr">
        <is>
          <t xml:space="preserve">    ],</t>
        </is>
      </c>
    </row>
    <row r="2879">
      <c r="A2879" s="84" t="inlineStr">
        <is>
          <t xml:space="preserve">    "recentVideos": [</t>
        </is>
      </c>
    </row>
    <row r="2880">
      <c r="A2880" s="84" t="inlineStr">
        <is>
          <t xml:space="preserve">      {</t>
        </is>
      </c>
    </row>
    <row r="2881">
      <c r="A2881" s="84" t="inlineStr">
        <is>
          <t xml:space="preserve">        "title": "What Broke First",</t>
        </is>
      </c>
    </row>
    <row r="2882">
      <c r="A2882" s="84" t="inlineStr">
        <is>
          <t xml:space="preserve">        "daysAgo": 3,</t>
        </is>
      </c>
    </row>
    <row r="2883">
      <c r="A2883" s="84" t="inlineStr">
        <is>
          <t xml:space="preserve">        "views": 54000,</t>
        </is>
      </c>
    </row>
    <row r="2884">
      <c r="A2884" s="84" t="inlineStr">
        <is>
          <t xml:space="preserve">        "likes": 2860,</t>
        </is>
      </c>
    </row>
    <row r="2885">
      <c r="A2885" s="84" t="inlineStr">
        <is>
          <t xml:space="preserve">        "comments": 320,</t>
        </is>
      </c>
    </row>
    <row r="2886">
      <c r="A2886" s="84" t="inlineStr">
        <is>
          <t xml:space="preserve">        "hadSponsor": true,</t>
        </is>
      </c>
    </row>
    <row r="2887">
      <c r="A2887" s="84" t="inlineStr">
        <is>
          <t xml:space="preserve">        "topicTags": [</t>
        </is>
      </c>
    </row>
    <row r="2888">
      <c r="A2888" s="84" t="inlineStr">
        <is>
          <t xml:space="preserve">          "durability",</t>
        </is>
      </c>
    </row>
    <row r="2889">
      <c r="A2889" s="84" t="inlineStr">
        <is>
          <t xml:space="preserve">          "review",</t>
        </is>
      </c>
    </row>
    <row r="2890">
      <c r="A2890" s="84" t="inlineStr">
        <is>
          <t xml:space="preserve">          "tech"</t>
        </is>
      </c>
    </row>
    <row r="2891">
      <c r="A2891" s="84" t="inlineStr">
        <is>
          <t xml:space="preserve">        ]</t>
        </is>
      </c>
    </row>
    <row r="2892">
      <c r="A2892" s="84" t="inlineStr">
        <is>
          <t xml:space="preserve">      },</t>
        </is>
      </c>
    </row>
    <row r="2893">
      <c r="A2893" s="84" t="inlineStr">
        <is>
          <t xml:space="preserve">      {</t>
        </is>
      </c>
    </row>
    <row r="2894">
      <c r="A2894" s="84" t="inlineStr">
        <is>
          <t xml:space="preserve">        "title": "Setup Upgrade Under $200",</t>
        </is>
      </c>
    </row>
    <row r="2895">
      <c r="A2895" s="84" t="inlineStr">
        <is>
          <t xml:space="preserve">        "daysAgo": 15,</t>
        </is>
      </c>
    </row>
    <row r="2896">
      <c r="A2896" s="84" t="inlineStr">
        <is>
          <t xml:space="preserve">        "views": 39000,</t>
        </is>
      </c>
    </row>
    <row r="2897">
      <c r="A2897" s="84" t="inlineStr">
        <is>
          <t xml:space="preserve">        "likes": 2110,</t>
        </is>
      </c>
    </row>
    <row r="2898">
      <c r="A2898" s="84" t="inlineStr">
        <is>
          <t xml:space="preserve">        "comments": 235,</t>
        </is>
      </c>
    </row>
    <row r="2899">
      <c r="A2899" s="84" t="inlineStr">
        <is>
          <t xml:space="preserve">        "hadSponsor": false,</t>
        </is>
      </c>
    </row>
    <row r="2900">
      <c r="A2900" s="84" t="inlineStr">
        <is>
          <t xml:space="preserve">        "topicTags": [</t>
        </is>
      </c>
    </row>
    <row r="2901">
      <c r="A2901" s="84" t="inlineStr">
        <is>
          <t xml:space="preserve">          "setup",</t>
        </is>
      </c>
    </row>
    <row r="2902">
      <c r="A2902" s="84" t="inlineStr">
        <is>
          <t xml:space="preserve">          "budget",</t>
        </is>
      </c>
    </row>
    <row r="2903">
      <c r="A2903" s="84" t="inlineStr">
        <is>
          <t xml:space="preserve">          "upgrade"</t>
        </is>
      </c>
    </row>
    <row r="2904">
      <c r="A2904" s="84" t="inlineStr">
        <is>
          <t xml:space="preserve">        ]</t>
        </is>
      </c>
    </row>
    <row r="2905">
      <c r="A2905" s="84" t="inlineStr">
        <is>
          <t xml:space="preserve">      },</t>
        </is>
      </c>
    </row>
    <row r="2906">
      <c r="A2906" s="84" t="inlineStr">
        <is>
          <t xml:space="preserve">      {</t>
        </is>
      </c>
    </row>
    <row r="2907">
      <c r="A2907" s="84" t="inlineStr">
        <is>
          <t xml:space="preserve">        "title": "This $15 Laptop Shouldn't Be This Good",</t>
        </is>
      </c>
    </row>
    <row r="2908">
      <c r="A2908" s="84" t="inlineStr">
        <is>
          <t xml:space="preserve">        "daysAgo": 22,</t>
        </is>
      </c>
    </row>
    <row r="2909">
      <c r="A2909" s="84" t="inlineStr">
        <is>
          <t xml:space="preserve">        "views": 45000,</t>
        </is>
      </c>
    </row>
    <row r="2910">
      <c r="A2910" s="84" t="inlineStr">
        <is>
          <t xml:space="preserve">        "likes": 2570,</t>
        </is>
      </c>
    </row>
    <row r="2911">
      <c r="A2911" s="84" t="inlineStr">
        <is>
          <t xml:space="preserve">        "comments": 285,</t>
        </is>
      </c>
    </row>
    <row r="2912">
      <c r="A2912" s="84" t="inlineStr">
        <is>
          <t xml:space="preserve">        "hadSponsor": false,</t>
        </is>
      </c>
    </row>
    <row r="2913">
      <c r="A2913" s="84" t="inlineStr">
        <is>
          <t xml:space="preserve">        "topicTags": [</t>
        </is>
      </c>
    </row>
    <row r="2914">
      <c r="A2914" s="84" t="inlineStr">
        <is>
          <t xml:space="preserve">          "budget-tech",</t>
        </is>
      </c>
    </row>
    <row r="2915">
      <c r="A2915" s="84" t="inlineStr">
        <is>
          <t xml:space="preserve">          "review",</t>
        </is>
      </c>
    </row>
    <row r="2916">
      <c r="A2916" s="84" t="inlineStr">
        <is>
          <t xml:space="preserve">          "value"</t>
        </is>
      </c>
    </row>
    <row r="2917">
      <c r="A2917" s="84" t="inlineStr">
        <is>
          <t xml:space="preserve">        ]</t>
        </is>
      </c>
    </row>
    <row r="2918">
      <c r="A2918" s="84" t="inlineStr">
        <is>
          <t xml:space="preserve">      }</t>
        </is>
      </c>
    </row>
    <row r="2919">
      <c r="A2919" s="84" t="inlineStr">
        <is>
          <t xml:space="preserve">    ]</t>
        </is>
      </c>
    </row>
    <row r="2920">
      <c r="A2920" s="84" t="inlineStr">
        <is>
          <t xml:space="preserve">  },</t>
        </is>
      </c>
    </row>
    <row r="2921">
      <c r="A2921" s="84" t="inlineStr">
        <is>
          <t xml:space="preserve">  {</t>
        </is>
      </c>
    </row>
    <row r="2922">
      <c r="A2922" s="84" t="inlineStr">
        <is>
          <t xml:space="preserve">    "id": "hassan-ali",</t>
        </is>
      </c>
    </row>
    <row r="2923">
      <c r="A2923" s="84" t="inlineStr">
        <is>
          <t xml:space="preserve">    "name": "Hassan Ali",</t>
        </is>
      </c>
    </row>
    <row r="2924">
      <c r="A2924" s="84" t="inlineStr">
        <is>
          <t xml:space="preserve">    "handle": "@hassangadgets",</t>
        </is>
      </c>
    </row>
    <row r="2925">
      <c r="A2925" s="84" t="inlineStr">
        <is>
          <t xml:space="preserve">    "category": "Tech Reviews",</t>
        </is>
      </c>
    </row>
    <row r="2926">
      <c r="A2926" s="84" t="inlineStr">
        <is>
          <t xml:space="preserve">    "tier": "Nano",</t>
        </is>
      </c>
    </row>
    <row r="2927">
      <c r="A2927" s="84" t="inlineStr">
        <is>
          <t xml:space="preserve">    "subscribers": 9100,</t>
        </is>
      </c>
    </row>
    <row r="2928">
      <c r="A2928" s="84" t="inlineStr">
        <is>
          <t xml:space="preserve">    "avgViews": 6500,</t>
        </is>
      </c>
    </row>
    <row r="2929">
      <c r="A2929" s="84" t="inlineStr">
        <is>
          <t xml:space="preserve">    "engagementRate": 0.094,</t>
        </is>
      </c>
    </row>
    <row r="2930">
      <c r="A2930" s="84" t="inlineStr">
        <is>
          <t xml:space="preserve">    "channelVerified": true,</t>
        </is>
      </c>
    </row>
    <row r="2931">
      <c r="A2931" s="84" t="inlineStr">
        <is>
          <t xml:space="preserve">    "safetyScore": 90,</t>
        </is>
      </c>
    </row>
    <row r="2932">
      <c r="A2932" s="84" t="inlineStr">
        <is>
          <t xml:space="preserve">    "audienceAge": "18-34",</t>
        </is>
      </c>
    </row>
    <row r="2933">
      <c r="A2933" s="84" t="inlineStr">
        <is>
          <t xml:space="preserve">    "audienceGender": "73% M",</t>
        </is>
      </c>
    </row>
    <row r="2934">
      <c r="A2934" s="84" t="inlineStr">
        <is>
          <t xml:space="preserve">    "topCountry": "AE",</t>
        </is>
      </c>
    </row>
    <row r="2935">
      <c r="A2935" s="84" t="inlineStr">
        <is>
          <t xml:space="preserve">    "uploadCadence": "3 / week",</t>
        </is>
      </c>
    </row>
    <row r="2936">
      <c r="A2936" s="84" t="inlineStr">
        <is>
          <t xml:space="preserve">    "avgLengthMin": 6,</t>
        </is>
      </c>
    </row>
    <row r="2937">
      <c r="A2937" s="84" t="inlineStr">
        <is>
          <t xml:space="preserve">    "rates": {</t>
        </is>
      </c>
    </row>
    <row r="2938">
      <c r="A2938" s="84" t="inlineStr">
        <is>
          <t xml:space="preserve">      "integrated": 310,</t>
        </is>
      </c>
    </row>
    <row r="2939">
      <c r="A2939" s="84" t="inlineStr">
        <is>
          <t xml:space="preserve">      "dedicated": 650,</t>
        </is>
      </c>
    </row>
    <row r="2940">
      <c r="A2940" s="84" t="inlineStr">
        <is>
          <t xml:space="preserve">      "short": 160</t>
        </is>
      </c>
    </row>
    <row r="2941">
      <c r="A2941" s="84" t="inlineStr">
        <is>
          <t xml:space="preserve">    },</t>
        </is>
      </c>
    </row>
    <row r="2942">
      <c r="A2942" s="84" t="inlineStr">
        <is>
          <t xml:space="preserve">    "avatarInitials": "HA",</t>
        </is>
      </c>
    </row>
    <row r="2943">
      <c r="A2943" s="84" t="inlineStr">
        <is>
          <t xml:space="preserve">    "avatarColor": "#283747",</t>
        </is>
      </c>
    </row>
    <row r="2944">
      <c r="A2944" s="84" t="inlineStr">
        <is>
          <t xml:space="preserve">    "bio": "Fast gadget first-looks, mostly Shorts.",</t>
        </is>
      </c>
    </row>
    <row r="2945">
      <c r="A2945" s="84" t="inlineStr">
        <is>
          <t xml:space="preserve">    "languages": [</t>
        </is>
      </c>
    </row>
    <row r="2946">
      <c r="A2946" s="84" t="inlineStr">
        <is>
          <t xml:space="preserve">      "English",</t>
        </is>
      </c>
    </row>
    <row r="2947">
      <c r="A2947" s="84" t="inlineStr">
        <is>
          <t xml:space="preserve">      "Arabic"</t>
        </is>
      </c>
    </row>
    <row r="2948">
      <c r="A2948" s="84" t="inlineStr">
        <is>
          <t xml:space="preserve">    ],</t>
        </is>
      </c>
    </row>
    <row r="2949">
      <c r="A2949" s="84" t="inlineStr">
        <is>
          <t xml:space="preserve">    "formatsOffered": [</t>
        </is>
      </c>
    </row>
    <row r="2950">
      <c r="A2950" s="84" t="inlineStr">
        <is>
          <t xml:space="preserve">      "Integrated",</t>
        </is>
      </c>
    </row>
    <row r="2951">
      <c r="A2951" s="84" t="inlineStr">
        <is>
          <t xml:space="preserve">      "Short"</t>
        </is>
      </c>
    </row>
    <row r="2952">
      <c r="A2952" s="84" t="inlineStr">
        <is>
          <t xml:space="preserve">    ],</t>
        </is>
      </c>
    </row>
    <row r="2953">
      <c r="A2953" s="84" t="inlineStr">
        <is>
          <t xml:space="preserve">    "turnaroundDays": 7,</t>
        </is>
      </c>
    </row>
    <row r="2954">
      <c r="A2954" s="84" t="inlineStr">
        <is>
          <t xml:space="preserve">    "workedWith": [</t>
        </is>
      </c>
    </row>
    <row r="2955">
      <c r="A2955" s="84" t="inlineStr">
        <is>
          <t xml:space="preserve">      "Consumer Electronics",</t>
        </is>
      </c>
    </row>
    <row r="2956">
      <c r="A2956" s="84" t="inlineStr">
        <is>
          <t xml:space="preserve">      "Accessories"</t>
        </is>
      </c>
    </row>
    <row r="2957">
      <c r="A2957" s="84" t="inlineStr">
        <is>
          <t xml:space="preserve">    ],</t>
        </is>
      </c>
    </row>
    <row r="2958">
      <c r="A2958" s="84" t="inlineStr">
        <is>
          <t xml:space="preserve">    "recentVideos": [</t>
        </is>
      </c>
    </row>
    <row r="2959">
      <c r="A2959" s="84" t="inlineStr">
        <is>
          <t xml:space="preserve">      {</t>
        </is>
      </c>
    </row>
    <row r="2960">
      <c r="A2960" s="84" t="inlineStr">
        <is>
          <t xml:space="preserve">        "title": "The Spec Nobody Tells You About",</t>
        </is>
      </c>
    </row>
    <row r="2961">
      <c r="A2961" s="84" t="inlineStr">
        <is>
          <t xml:space="preserve">        "daysAgo": 5,</t>
        </is>
      </c>
    </row>
    <row r="2962">
      <c r="A2962" s="84" t="inlineStr">
        <is>
          <t xml:space="preserve">        "views": 12000,</t>
        </is>
      </c>
    </row>
    <row r="2963">
      <c r="A2963" s="84" t="inlineStr">
        <is>
          <t xml:space="preserve">        "likes": 970,</t>
        </is>
      </c>
    </row>
    <row r="2964">
      <c r="A2964" s="84" t="inlineStr">
        <is>
          <t xml:space="preserve">        "comments": 110,</t>
        </is>
      </c>
    </row>
    <row r="2965">
      <c r="A2965" s="84" t="inlineStr">
        <is>
          <t xml:space="preserve">        "hadSponsor": false,</t>
        </is>
      </c>
    </row>
    <row r="2966">
      <c r="A2966" s="84" t="inlineStr">
        <is>
          <t xml:space="preserve">        "topicTags": [</t>
        </is>
      </c>
    </row>
    <row r="2967">
      <c r="A2967" s="84" t="inlineStr">
        <is>
          <t xml:space="preserve">          "review",</t>
        </is>
      </c>
    </row>
    <row r="2968">
      <c r="A2968" s="84" t="inlineStr">
        <is>
          <t xml:space="preserve">          "deep-dive",</t>
        </is>
      </c>
    </row>
    <row r="2969">
      <c r="A2969" s="84" t="inlineStr">
        <is>
          <t xml:space="preserve">          "tech"</t>
        </is>
      </c>
    </row>
    <row r="2970">
      <c r="A2970" s="84" t="inlineStr">
        <is>
          <t xml:space="preserve">        ]</t>
        </is>
      </c>
    </row>
    <row r="2971">
      <c r="A2971" s="84" t="inlineStr">
        <is>
          <t xml:space="preserve">      },</t>
        </is>
      </c>
    </row>
    <row r="2972">
      <c r="A2972" s="84" t="inlineStr">
        <is>
          <t xml:space="preserve">      {</t>
        </is>
      </c>
    </row>
    <row r="2973">
      <c r="A2973" s="84" t="inlineStr">
        <is>
          <t xml:space="preserve">        "title": "Laptop After 6 Months — Still Worth It?",</t>
        </is>
      </c>
    </row>
    <row r="2974">
      <c r="A2974" s="84" t="inlineStr">
        <is>
          <t xml:space="preserve">        "daysAgo": 11,</t>
        </is>
      </c>
    </row>
    <row r="2975">
      <c r="A2975" s="84" t="inlineStr">
        <is>
          <t xml:space="preserve">        "views": 5000,</t>
        </is>
      </c>
    </row>
    <row r="2976">
      <c r="A2976" s="84" t="inlineStr">
        <is>
          <t xml:space="preserve">        "likes": 410,</t>
        </is>
      </c>
    </row>
    <row r="2977">
      <c r="A2977" s="84" t="inlineStr">
        <is>
          <t xml:space="preserve">        "comments": 45,</t>
        </is>
      </c>
    </row>
    <row r="2978">
      <c r="A2978" s="84" t="inlineStr">
        <is>
          <t xml:space="preserve">        "hadSponsor": false,</t>
        </is>
      </c>
    </row>
    <row r="2979">
      <c r="A2979" s="84" t="inlineStr">
        <is>
          <t xml:space="preserve">        "topicTags": [</t>
        </is>
      </c>
    </row>
    <row r="2980">
      <c r="A2980" s="84" t="inlineStr">
        <is>
          <t xml:space="preserve">          "long-term",</t>
        </is>
      </c>
    </row>
    <row r="2981">
      <c r="A2981" s="84" t="inlineStr">
        <is>
          <t xml:space="preserve">          "review",</t>
        </is>
      </c>
    </row>
    <row r="2982">
      <c r="A2982" s="84" t="inlineStr">
        <is>
          <t xml:space="preserve">          "tech"</t>
        </is>
      </c>
    </row>
    <row r="2983">
      <c r="A2983" s="84" t="inlineStr">
        <is>
          <t xml:space="preserve">        ]</t>
        </is>
      </c>
    </row>
    <row r="2984">
      <c r="A2984" s="84" t="inlineStr">
        <is>
          <t xml:space="preserve">      },</t>
        </is>
      </c>
    </row>
    <row r="2985">
      <c r="A2985" s="84" t="inlineStr">
        <is>
          <t xml:space="preserve">      {</t>
        </is>
      </c>
    </row>
    <row r="2986">
      <c r="A2986" s="84" t="inlineStr">
        <is>
          <t xml:space="preserve">        "title": "Budget vs Flagship: Real-World Test",</t>
        </is>
      </c>
    </row>
    <row r="2987">
      <c r="A2987" s="84" t="inlineStr">
        <is>
          <t xml:space="preserve">        "daysAgo": 22,</t>
        </is>
      </c>
    </row>
    <row r="2988">
      <c r="A2988" s="84" t="inlineStr">
        <is>
          <t xml:space="preserve">        "views": 7000,</t>
        </is>
      </c>
    </row>
    <row r="2989">
      <c r="A2989" s="84" t="inlineStr">
        <is>
          <t xml:space="preserve">        "likes": 570,</t>
        </is>
      </c>
    </row>
    <row r="2990">
      <c r="A2990" s="84" t="inlineStr">
        <is>
          <t xml:space="preserve">        "comments": 65,</t>
        </is>
      </c>
    </row>
    <row r="2991">
      <c r="A2991" s="84" t="inlineStr">
        <is>
          <t xml:space="preserve">        "hadSponsor": false,</t>
        </is>
      </c>
    </row>
    <row r="2992">
      <c r="A2992" s="84" t="inlineStr">
        <is>
          <t xml:space="preserve">        "topicTags": [</t>
        </is>
      </c>
    </row>
    <row r="2993">
      <c r="A2993" s="84" t="inlineStr">
        <is>
          <t xml:space="preserve">          "comparison",</t>
        </is>
      </c>
    </row>
    <row r="2994">
      <c r="A2994" s="84" t="inlineStr">
        <is>
          <t xml:space="preserve">          "value",</t>
        </is>
      </c>
    </row>
    <row r="2995">
      <c r="A2995" s="84" t="inlineStr">
        <is>
          <t xml:space="preserve">          "tech"</t>
        </is>
      </c>
    </row>
    <row r="2996">
      <c r="A2996" s="84" t="inlineStr">
        <is>
          <t xml:space="preserve">        ]</t>
        </is>
      </c>
    </row>
    <row r="2997">
      <c r="A2997" s="84" t="inlineStr">
        <is>
          <t xml:space="preserve">      }</t>
        </is>
      </c>
    </row>
    <row r="2998">
      <c r="A2998" s="84" t="inlineStr">
        <is>
          <t xml:space="preserve">    ]</t>
        </is>
      </c>
    </row>
    <row r="2999">
      <c r="A2999" s="84" t="inlineStr">
        <is>
          <t xml:space="preserve">  },</t>
        </is>
      </c>
    </row>
    <row r="3000">
      <c r="A3000" s="84" t="inlineStr">
        <is>
          <t xml:space="preserve">  {</t>
        </is>
      </c>
    </row>
    <row r="3001">
      <c r="A3001" s="84" t="inlineStr">
        <is>
          <t xml:space="preserve">    "id": "marco-bianchi",</t>
        </is>
      </c>
    </row>
    <row r="3002">
      <c r="A3002" s="84" t="inlineStr">
        <is>
          <t xml:space="preserve">    "name": "Marco Bianchi",</t>
        </is>
      </c>
    </row>
    <row r="3003">
      <c r="A3003" s="84" t="inlineStr">
        <is>
          <t xml:space="preserve">    "handle": "@marcobuildspc",</t>
        </is>
      </c>
    </row>
    <row r="3004">
      <c r="A3004" s="84" t="inlineStr">
        <is>
          <t xml:space="preserve">    "category": "Tech Reviews",</t>
        </is>
      </c>
    </row>
    <row r="3005">
      <c r="A3005" s="84" t="inlineStr">
        <is>
          <t xml:space="preserve">    "tier": "Mid-tier",</t>
        </is>
      </c>
    </row>
    <row r="3006">
      <c r="A3006" s="84" t="inlineStr">
        <is>
          <t xml:space="preserve">    "subscribers": 154123,</t>
        </is>
      </c>
    </row>
    <row r="3007">
      <c r="A3007" s="84" t="inlineStr">
        <is>
          <t xml:space="preserve">    "avgViews": 68000,</t>
        </is>
      </c>
    </row>
    <row r="3008">
      <c r="A3008" s="84" t="inlineStr">
        <is>
          <t xml:space="preserve">    "engagementRate": 0.046,</t>
        </is>
      </c>
    </row>
    <row r="3009">
      <c r="A3009" s="84" t="inlineStr">
        <is>
          <t xml:space="preserve">    "channelVerified": true,</t>
        </is>
      </c>
    </row>
    <row r="3010">
      <c r="A3010" s="84" t="inlineStr">
        <is>
          <t xml:space="preserve">    "safetyScore": 87,</t>
        </is>
      </c>
    </row>
    <row r="3011">
      <c r="A3011" s="84" t="inlineStr">
        <is>
          <t xml:space="preserve">    "audienceAge": "18-34",</t>
        </is>
      </c>
    </row>
    <row r="3012">
      <c r="A3012" s="84" t="inlineStr">
        <is>
          <t xml:space="preserve">    "audienceGender": "78% M",</t>
        </is>
      </c>
    </row>
    <row r="3013">
      <c r="A3013" s="84" t="inlineStr">
        <is>
          <t xml:space="preserve">    "topCountry": "US",</t>
        </is>
      </c>
    </row>
    <row r="3014">
      <c r="A3014" s="84" t="inlineStr">
        <is>
          <t xml:space="preserve">    "uploadCadence": "1 / week",</t>
        </is>
      </c>
    </row>
    <row r="3015">
      <c r="A3015" s="84" t="inlineStr">
        <is>
          <t xml:space="preserve">    "avgLengthMin": 17,</t>
        </is>
      </c>
    </row>
    <row r="3016">
      <c r="A3016" s="84" t="inlineStr">
        <is>
          <t xml:space="preserve">    "rates": {</t>
        </is>
      </c>
    </row>
    <row r="3017">
      <c r="A3017" s="84" t="inlineStr">
        <is>
          <t xml:space="preserve">      "integrated": 2080,</t>
        </is>
      </c>
    </row>
    <row r="3018">
      <c r="A3018" s="84" t="inlineStr">
        <is>
          <t xml:space="preserve">      "dedicated": 4420,</t>
        </is>
      </c>
    </row>
    <row r="3019">
      <c r="A3019" s="84" t="inlineStr">
        <is>
          <t xml:space="preserve">      "short": 1060</t>
        </is>
      </c>
    </row>
    <row r="3020">
      <c r="A3020" s="84" t="inlineStr">
        <is>
          <t xml:space="preserve">    },</t>
        </is>
      </c>
    </row>
    <row r="3021">
      <c r="A3021" s="84" t="inlineStr">
        <is>
          <t xml:space="preserve">    "avatarInitials": "MB",</t>
        </is>
      </c>
    </row>
    <row r="3022">
      <c r="A3022" s="84" t="inlineStr">
        <is>
          <t xml:space="preserve">    "avatarColor": "#212F3D",</t>
        </is>
      </c>
    </row>
    <row r="3023">
      <c r="A3023" s="84" t="inlineStr">
        <is>
          <t xml:space="preserve">    "bio": "Custom PC builds and thermals, tested to failure.",</t>
        </is>
      </c>
    </row>
    <row r="3024">
      <c r="A3024" s="84" t="inlineStr">
        <is>
          <t xml:space="preserve">    "languages": [</t>
        </is>
      </c>
    </row>
    <row r="3025">
      <c r="A3025" s="84" t="inlineStr">
        <is>
          <t xml:space="preserve">      "English",</t>
        </is>
      </c>
    </row>
    <row r="3026">
      <c r="A3026" s="84" t="inlineStr">
        <is>
          <t xml:space="preserve">      "Italian"</t>
        </is>
      </c>
    </row>
    <row r="3027">
      <c r="A3027" s="84" t="inlineStr">
        <is>
          <t xml:space="preserve">    ],</t>
        </is>
      </c>
    </row>
    <row r="3028">
      <c r="A3028" s="84" t="inlineStr">
        <is>
          <t xml:space="preserve">    "formatsOffered": [</t>
        </is>
      </c>
    </row>
    <row r="3029">
      <c r="A3029" s="84" t="inlineStr">
        <is>
          <t xml:space="preserve">      "Integrated",</t>
        </is>
      </c>
    </row>
    <row r="3030">
      <c r="A3030" s="84" t="inlineStr">
        <is>
          <t xml:space="preserve">      "Dedicated",</t>
        </is>
      </c>
    </row>
    <row r="3031">
      <c r="A3031" s="84" t="inlineStr">
        <is>
          <t xml:space="preserve">      "Short"</t>
        </is>
      </c>
    </row>
    <row r="3032">
      <c r="A3032" s="84" t="inlineStr">
        <is>
          <t xml:space="preserve">    ],</t>
        </is>
      </c>
    </row>
    <row r="3033">
      <c r="A3033" s="84" t="inlineStr">
        <is>
          <t xml:space="preserve">    "turnaroundDays": 14,</t>
        </is>
      </c>
    </row>
    <row r="3034">
      <c r="A3034" s="84" t="inlineStr">
        <is>
          <t xml:space="preserve">    "workedWith": [</t>
        </is>
      </c>
    </row>
    <row r="3035">
      <c r="A3035" s="84" t="inlineStr">
        <is>
          <t xml:space="preserve">      "PC Components",</t>
        </is>
      </c>
    </row>
    <row r="3036">
      <c r="A3036" s="84" t="inlineStr">
        <is>
          <t xml:space="preserve">      "Peripherals"</t>
        </is>
      </c>
    </row>
    <row r="3037">
      <c r="A3037" s="84" t="inlineStr">
        <is>
          <t xml:space="preserve">    ],</t>
        </is>
      </c>
    </row>
    <row r="3038">
      <c r="A3038" s="84" t="inlineStr">
        <is>
          <t xml:space="preserve">    "recentVideos": [</t>
        </is>
      </c>
    </row>
    <row r="3039">
      <c r="A3039" s="84" t="inlineStr">
        <is>
          <t xml:space="preserve">      {</t>
        </is>
      </c>
    </row>
    <row r="3040">
      <c r="A3040" s="84" t="inlineStr">
        <is>
          <t xml:space="preserve">        "title": "I Benchmarked 5 Laptop So You Don't",</t>
        </is>
      </c>
    </row>
    <row r="3041">
      <c r="A3041" s="84" t="inlineStr">
        <is>
          <t xml:space="preserve">        "daysAgo": 4,</t>
        </is>
      </c>
    </row>
    <row r="3042">
      <c r="A3042" s="84" t="inlineStr">
        <is>
          <t xml:space="preserve">        "views": 85000,</t>
        </is>
      </c>
    </row>
    <row r="3043">
      <c r="A3043" s="84" t="inlineStr">
        <is>
          <t xml:space="preserve">        "likes": 3540,</t>
        </is>
      </c>
    </row>
    <row r="3044">
      <c r="A3044" s="84" t="inlineStr">
        <is>
          <t xml:space="preserve">        "comments": 395,</t>
        </is>
      </c>
    </row>
    <row r="3045">
      <c r="A3045" s="84" t="inlineStr">
        <is>
          <t xml:space="preserve">        "hadSponsor": true,</t>
        </is>
      </c>
    </row>
    <row r="3046">
      <c r="A3046" s="84" t="inlineStr">
        <is>
          <t xml:space="preserve">        "topicTags": [</t>
        </is>
      </c>
    </row>
    <row r="3047">
      <c r="A3047" s="84" t="inlineStr">
        <is>
          <t xml:space="preserve">          "benchmark",</t>
        </is>
      </c>
    </row>
    <row r="3048">
      <c r="A3048" s="84" t="inlineStr">
        <is>
          <t xml:space="preserve">          "comparison",</t>
        </is>
      </c>
    </row>
    <row r="3049">
      <c r="A3049" s="84" t="inlineStr">
        <is>
          <t xml:space="preserve">          "tech"</t>
        </is>
      </c>
    </row>
    <row r="3050">
      <c r="A3050" s="84" t="inlineStr">
        <is>
          <t xml:space="preserve">        ]</t>
        </is>
      </c>
    </row>
    <row r="3051">
      <c r="A3051" s="84" t="inlineStr">
        <is>
          <t xml:space="preserve">      },</t>
        </is>
      </c>
    </row>
    <row r="3052">
      <c r="A3052" s="84" t="inlineStr">
        <is>
          <t xml:space="preserve">      {</t>
        </is>
      </c>
    </row>
    <row r="3053">
      <c r="A3053" s="84" t="inlineStr">
        <is>
          <t xml:space="preserve">        "title": "The Accessory That Fixed It",</t>
        </is>
      </c>
    </row>
    <row r="3054">
      <c r="A3054" s="84" t="inlineStr">
        <is>
          <t xml:space="preserve">        "daysAgo": 11,</t>
        </is>
      </c>
    </row>
    <row r="3055">
      <c r="A3055" s="84" t="inlineStr">
        <is>
          <t xml:space="preserve">        "views": 61000,</t>
        </is>
      </c>
    </row>
    <row r="3056">
      <c r="A3056" s="84" t="inlineStr">
        <is>
          <t xml:space="preserve">        "likes": 2690,</t>
        </is>
      </c>
    </row>
    <row r="3057">
      <c r="A3057" s="84" t="inlineStr">
        <is>
          <t xml:space="preserve">        "comments": 300,</t>
        </is>
      </c>
    </row>
    <row r="3058">
      <c r="A3058" s="84" t="inlineStr">
        <is>
          <t xml:space="preserve">        "hadSponsor": false,</t>
        </is>
      </c>
    </row>
    <row r="3059">
      <c r="A3059" s="84" t="inlineStr">
        <is>
          <t xml:space="preserve">        "topicTags": [</t>
        </is>
      </c>
    </row>
    <row r="3060">
      <c r="A3060" s="84" t="inlineStr">
        <is>
          <t xml:space="preserve">          "accessories",</t>
        </is>
      </c>
    </row>
    <row r="3061">
      <c r="A3061" s="84" t="inlineStr">
        <is>
          <t xml:space="preserve">          "review",</t>
        </is>
      </c>
    </row>
    <row r="3062">
      <c r="A3062" s="84" t="inlineStr">
        <is>
          <t xml:space="preserve">          "tech"</t>
        </is>
      </c>
    </row>
    <row r="3063">
      <c r="A3063" s="84" t="inlineStr">
        <is>
          <t xml:space="preserve">        ]</t>
        </is>
      </c>
    </row>
    <row r="3064">
      <c r="A3064" s="84" t="inlineStr">
        <is>
          <t xml:space="preserve">      },</t>
        </is>
      </c>
    </row>
    <row r="3065">
      <c r="A3065" s="84" t="inlineStr">
        <is>
          <t xml:space="preserve">      {</t>
        </is>
      </c>
    </row>
    <row r="3066">
      <c r="A3066" s="84" t="inlineStr">
        <is>
          <t xml:space="preserve">        "title": "What Broke First",</t>
        </is>
      </c>
    </row>
    <row r="3067">
      <c r="A3067" s="84" t="inlineStr">
        <is>
          <t xml:space="preserve">        "daysAgo": 26,</t>
        </is>
      </c>
    </row>
    <row r="3068">
      <c r="A3068" s="84" t="inlineStr">
        <is>
          <t xml:space="preserve">        "views": 71000,</t>
        </is>
      </c>
    </row>
    <row r="3069">
      <c r="A3069" s="84" t="inlineStr">
        <is>
          <t xml:space="preserve">        "likes": 2930,</t>
        </is>
      </c>
    </row>
    <row r="3070">
      <c r="A3070" s="84" t="inlineStr">
        <is>
          <t xml:space="preserve">        "comments": 325,</t>
        </is>
      </c>
    </row>
    <row r="3071">
      <c r="A3071" s="84" t="inlineStr">
        <is>
          <t xml:space="preserve">        "hadSponsor": false,</t>
        </is>
      </c>
    </row>
    <row r="3072">
      <c r="A3072" s="84" t="inlineStr">
        <is>
          <t xml:space="preserve">        "topicTags": [</t>
        </is>
      </c>
    </row>
    <row r="3073">
      <c r="A3073" s="84" t="inlineStr">
        <is>
          <t xml:space="preserve">          "durability",</t>
        </is>
      </c>
    </row>
    <row r="3074">
      <c r="A3074" s="84" t="inlineStr">
        <is>
          <t xml:space="preserve">          "review",</t>
        </is>
      </c>
    </row>
    <row r="3075">
      <c r="A3075" s="84" t="inlineStr">
        <is>
          <t xml:space="preserve">          "tech"</t>
        </is>
      </c>
    </row>
    <row r="3076">
      <c r="A3076" s="84" t="inlineStr">
        <is>
          <t xml:space="preserve">        ]</t>
        </is>
      </c>
    </row>
    <row r="3077">
      <c r="A3077" s="84" t="inlineStr">
        <is>
          <t xml:space="preserve">      }</t>
        </is>
      </c>
    </row>
    <row r="3078">
      <c r="A3078" s="84" t="inlineStr">
        <is>
          <t xml:space="preserve">    ]</t>
        </is>
      </c>
    </row>
    <row r="3079">
      <c r="A3079" s="84" t="inlineStr">
        <is>
          <t xml:space="preserve">  },</t>
        </is>
      </c>
    </row>
    <row r="3080">
      <c r="A3080" s="84" t="inlineStr">
        <is>
          <t xml:space="preserve">  {</t>
        </is>
      </c>
    </row>
    <row r="3081">
      <c r="A3081" s="84" t="inlineStr">
        <is>
          <t xml:space="preserve">    "id": "brandon-cole",</t>
        </is>
      </c>
    </row>
    <row r="3082">
      <c r="A3082" s="84" t="inlineStr">
        <is>
          <t xml:space="preserve">    "name": "Brandon Cole",</t>
        </is>
      </c>
    </row>
    <row r="3083">
      <c r="A3083" s="84" t="inlineStr">
        <is>
          <t xml:space="preserve">    "handle": "@brandonplays",</t>
        </is>
      </c>
    </row>
    <row r="3084">
      <c r="A3084" s="84" t="inlineStr">
        <is>
          <t xml:space="preserve">    "category": "Gaming",</t>
        </is>
      </c>
    </row>
    <row r="3085">
      <c r="A3085" s="84" t="inlineStr">
        <is>
          <t xml:space="preserve">    "tier": "Micro",</t>
        </is>
      </c>
    </row>
    <row r="3086">
      <c r="A3086" s="84" t="inlineStr">
        <is>
          <t xml:space="preserve">    "subscribers": 76000,</t>
        </is>
      </c>
    </row>
    <row r="3087">
      <c r="A3087" s="84" t="inlineStr">
        <is>
          <t xml:space="preserve">    "avgViews": 103000,</t>
        </is>
      </c>
    </row>
    <row r="3088">
      <c r="A3088" s="84" t="inlineStr">
        <is>
          <t xml:space="preserve">    "engagementRate": 0.128,</t>
        </is>
      </c>
    </row>
    <row r="3089">
      <c r="A3089" s="84" t="inlineStr">
        <is>
          <t xml:space="preserve">    "channelVerified": true,</t>
        </is>
      </c>
    </row>
    <row r="3090">
      <c r="A3090" s="84" t="inlineStr">
        <is>
          <t xml:space="preserve">    "safetyScore": 84,</t>
        </is>
      </c>
    </row>
    <row r="3091">
      <c r="A3091" s="84" t="inlineStr">
        <is>
          <t xml:space="preserve">    "audienceAge": "18-24",</t>
        </is>
      </c>
    </row>
    <row r="3092">
      <c r="A3092" s="84" t="inlineStr">
        <is>
          <t xml:space="preserve">    "audienceGender": "81% M",</t>
        </is>
      </c>
    </row>
    <row r="3093">
      <c r="A3093" s="84" t="inlineStr">
        <is>
          <t xml:space="preserve">    "topCountry": "US",</t>
        </is>
      </c>
    </row>
    <row r="3094">
      <c r="A3094" s="84" t="inlineStr">
        <is>
          <t xml:space="preserve">    "uploadCadence": "5 / week",</t>
        </is>
      </c>
    </row>
    <row r="3095">
      <c r="A3095" s="84" t="inlineStr">
        <is>
          <t xml:space="preserve">    "avgLengthMin": 8,</t>
        </is>
      </c>
    </row>
    <row r="3096">
      <c r="A3096" s="84" t="inlineStr">
        <is>
          <t xml:space="preserve">    "rates": {</t>
        </is>
      </c>
    </row>
    <row r="3097">
      <c r="A3097" s="84" t="inlineStr">
        <is>
          <t xml:space="preserve">      "integrated": 3770,</t>
        </is>
      </c>
    </row>
    <row r="3098">
      <c r="A3098" s="84" t="inlineStr">
        <is>
          <t xml:space="preserve">      "dedicated": 8030,</t>
        </is>
      </c>
    </row>
    <row r="3099">
      <c r="A3099" s="84" t="inlineStr">
        <is>
          <t xml:space="preserve">      "short": 1930</t>
        </is>
      </c>
    </row>
    <row r="3100">
      <c r="A3100" s="84" t="inlineStr">
        <is>
          <t xml:space="preserve">    },</t>
        </is>
      </c>
    </row>
    <row r="3101">
      <c r="A3101" s="84" t="inlineStr">
        <is>
          <t xml:space="preserve">    "avatarInitials": "BC",</t>
        </is>
      </c>
    </row>
    <row r="3102">
      <c r="A3102" s="84" t="inlineStr">
        <is>
          <t xml:space="preserve">    "avatarColor": "#8E44AD",</t>
        </is>
      </c>
    </row>
    <row r="3103">
      <c r="A3103" s="84" t="inlineStr">
        <is>
          <t xml:space="preserve">    "bio": "Roguelike runs and indie deep-dives, five a week.",</t>
        </is>
      </c>
    </row>
    <row r="3104">
      <c r="A3104" s="84" t="inlineStr">
        <is>
          <t xml:space="preserve">    "languages": [</t>
        </is>
      </c>
    </row>
    <row r="3105">
      <c r="A3105" s="84" t="inlineStr">
        <is>
          <t xml:space="preserve">      "English"</t>
        </is>
      </c>
    </row>
    <row r="3106">
      <c r="A3106" s="84" t="inlineStr">
        <is>
          <t xml:space="preserve">    ],</t>
        </is>
      </c>
    </row>
    <row r="3107">
      <c r="A3107" s="84" t="inlineStr">
        <is>
          <t xml:space="preserve">    "formatsOffered": [</t>
        </is>
      </c>
    </row>
    <row r="3108">
      <c r="A3108" s="84" t="inlineStr">
        <is>
          <t xml:space="preserve">      "Integrated",</t>
        </is>
      </c>
    </row>
    <row r="3109">
      <c r="A3109" s="84" t="inlineStr">
        <is>
          <t xml:space="preserve">      "Dedicated",</t>
        </is>
      </c>
    </row>
    <row r="3110">
      <c r="A3110" s="84" t="inlineStr">
        <is>
          <t xml:space="preserve">      "Short"</t>
        </is>
      </c>
    </row>
    <row r="3111">
      <c r="A3111" s="84" t="inlineStr">
        <is>
          <t xml:space="preserve">    ],</t>
        </is>
      </c>
    </row>
    <row r="3112">
      <c r="A3112" s="84" t="inlineStr">
        <is>
          <t xml:space="preserve">    "turnaroundDays": 5,</t>
        </is>
      </c>
    </row>
    <row r="3113">
      <c r="A3113" s="84" t="inlineStr">
        <is>
          <t xml:space="preserve">    "workedWith": [</t>
        </is>
      </c>
    </row>
    <row r="3114">
      <c r="A3114" s="84" t="inlineStr">
        <is>
          <t xml:space="preserve">      "Gaming Peripherals",</t>
        </is>
      </c>
    </row>
    <row r="3115">
      <c r="A3115" s="84" t="inlineStr">
        <is>
          <t xml:space="preserve">      "Game Publishers"</t>
        </is>
      </c>
    </row>
    <row r="3116">
      <c r="A3116" s="84" t="inlineStr">
        <is>
          <t xml:space="preserve">    ],</t>
        </is>
      </c>
    </row>
    <row r="3117">
      <c r="A3117" s="84" t="inlineStr">
        <is>
          <t xml:space="preserve">    "recentVideos": [</t>
        </is>
      </c>
    </row>
    <row r="3118">
      <c r="A3118" s="84" t="inlineStr">
        <is>
          <t xml:space="preserve">      {</t>
        </is>
      </c>
    </row>
    <row r="3119">
      <c r="A3119" s="84" t="inlineStr">
        <is>
          <t xml:space="preserve">        "title": "Best Budget Gaming Headset",</t>
        </is>
      </c>
    </row>
    <row r="3120">
      <c r="A3120" s="84" t="inlineStr">
        <is>
          <t xml:space="preserve">        "daysAgo": 7,</t>
        </is>
      </c>
    </row>
    <row r="3121">
      <c r="A3121" s="84" t="inlineStr">
        <is>
          <t xml:space="preserve">        "views": 196000,</t>
        </is>
      </c>
    </row>
    <row r="3122">
      <c r="A3122" s="84" t="inlineStr">
        <is>
          <t xml:space="preserve">        "likes": 24040,</t>
        </is>
      </c>
    </row>
    <row r="3123">
      <c r="A3123" s="84" t="inlineStr">
        <is>
          <t xml:space="preserve">        "comments": 2670,</t>
        </is>
      </c>
    </row>
    <row r="3124">
      <c r="A3124" s="84" t="inlineStr">
        <is>
          <t xml:space="preserve">        "hadSponsor": true,</t>
        </is>
      </c>
    </row>
    <row r="3125">
      <c r="A3125" s="84" t="inlineStr">
        <is>
          <t xml:space="preserve">        "topicTags": [</t>
        </is>
      </c>
    </row>
    <row r="3126">
      <c r="A3126" s="84" t="inlineStr">
        <is>
          <t xml:space="preserve">          "budget",</t>
        </is>
      </c>
    </row>
    <row r="3127">
      <c r="A3127" s="84" t="inlineStr">
        <is>
          <t xml:space="preserve">          "gear",</t>
        </is>
      </c>
    </row>
    <row r="3128">
      <c r="A3128" s="84" t="inlineStr">
        <is>
          <t xml:space="preserve">          "buying-guide"</t>
        </is>
      </c>
    </row>
    <row r="3129">
      <c r="A3129" s="84" t="inlineStr">
        <is>
          <t xml:space="preserve">        ]</t>
        </is>
      </c>
    </row>
    <row r="3130">
      <c r="A3130" s="84" t="inlineStr">
        <is>
          <t xml:space="preserve">      },</t>
        </is>
      </c>
    </row>
    <row r="3131">
      <c r="A3131" s="84" t="inlineStr">
        <is>
          <t xml:space="preserve">      {</t>
        </is>
      </c>
    </row>
    <row r="3132">
      <c r="A3132" s="84" t="inlineStr">
        <is>
          <t xml:space="preserve">        "title": "7 Indie Games You Missed This Month",</t>
        </is>
      </c>
    </row>
    <row r="3133">
      <c r="A3133" s="84" t="inlineStr">
        <is>
          <t xml:space="preserve">        "daysAgo": 13,</t>
        </is>
      </c>
    </row>
    <row r="3134">
      <c r="A3134" s="84" t="inlineStr">
        <is>
          <t xml:space="preserve">        "views": 82000,</t>
        </is>
      </c>
    </row>
    <row r="3135">
      <c r="A3135" s="84" t="inlineStr">
        <is>
          <t xml:space="preserve">        "likes": 9960,</t>
        </is>
      </c>
    </row>
    <row r="3136">
      <c r="A3136" s="84" t="inlineStr">
        <is>
          <t xml:space="preserve">        "comments": 1105,</t>
        </is>
      </c>
    </row>
    <row r="3137">
      <c r="A3137" s="84" t="inlineStr">
        <is>
          <t xml:space="preserve">        "hadSponsor": false,</t>
        </is>
      </c>
    </row>
    <row r="3138">
      <c r="A3138" s="84" t="inlineStr">
        <is>
          <t xml:space="preserve">        "topicTags": [</t>
        </is>
      </c>
    </row>
    <row r="3139">
      <c r="A3139" s="84" t="inlineStr">
        <is>
          <t xml:space="preserve">          "indie",</t>
        </is>
      </c>
    </row>
    <row r="3140">
      <c r="A3140" s="84" t="inlineStr">
        <is>
          <t xml:space="preserve">          "recommendations",</t>
        </is>
      </c>
    </row>
    <row r="3141">
      <c r="A3141" s="84" t="inlineStr">
        <is>
          <t xml:space="preserve">          "roundup"</t>
        </is>
      </c>
    </row>
    <row r="3142">
      <c r="A3142" s="84" t="inlineStr">
        <is>
          <t xml:space="preserve">        ]</t>
        </is>
      </c>
    </row>
    <row r="3143">
      <c r="A3143" s="84" t="inlineStr">
        <is>
          <t xml:space="preserve">      },</t>
        </is>
      </c>
    </row>
    <row r="3144">
      <c r="A3144" s="84" t="inlineStr">
        <is>
          <t xml:space="preserve">      {</t>
        </is>
      </c>
    </row>
    <row r="3145">
      <c r="A3145" s="84" t="inlineStr">
        <is>
          <t xml:space="preserve">        "title": "This Roguelike Ate My Weekend",</t>
        </is>
      </c>
    </row>
    <row r="3146">
      <c r="A3146" s="84" t="inlineStr">
        <is>
          <t xml:space="preserve">        "daysAgo": 24,</t>
        </is>
      </c>
    </row>
    <row r="3147">
      <c r="A3147" s="84" t="inlineStr">
        <is>
          <t xml:space="preserve">        "views": 113000,</t>
        </is>
      </c>
    </row>
    <row r="3148">
      <c r="A3148" s="84" t="inlineStr">
        <is>
          <t xml:space="preserve">        "likes": 12640,</t>
        </is>
      </c>
    </row>
    <row r="3149">
      <c r="A3149" s="84" t="inlineStr">
        <is>
          <t xml:space="preserve">        "comments": 1405,</t>
        </is>
      </c>
    </row>
    <row r="3150">
      <c r="A3150" s="84" t="inlineStr">
        <is>
          <t xml:space="preserve">        "hadSponsor": false,</t>
        </is>
      </c>
    </row>
    <row r="3151">
      <c r="A3151" s="84" t="inlineStr">
        <is>
          <t xml:space="preserve">        "topicTags": [</t>
        </is>
      </c>
    </row>
    <row r="3152">
      <c r="A3152" s="84" t="inlineStr">
        <is>
          <t xml:space="preserve">          "roguelike",</t>
        </is>
      </c>
    </row>
    <row r="3153">
      <c r="A3153" s="84" t="inlineStr">
        <is>
          <t xml:space="preserve">          "playthrough",</t>
        </is>
      </c>
    </row>
    <row r="3154">
      <c r="A3154" s="84" t="inlineStr">
        <is>
          <t xml:space="preserve">          "review"</t>
        </is>
      </c>
    </row>
    <row r="3155">
      <c r="A3155" s="84" t="inlineStr">
        <is>
          <t xml:space="preserve">        ]</t>
        </is>
      </c>
    </row>
    <row r="3156">
      <c r="A3156" s="84" t="inlineStr">
        <is>
          <t xml:space="preserve">      }</t>
        </is>
      </c>
    </row>
    <row r="3157">
      <c r="A3157" s="84" t="inlineStr">
        <is>
          <t xml:space="preserve">    ]</t>
        </is>
      </c>
    </row>
    <row r="3158">
      <c r="A3158" s="84" t="inlineStr">
        <is>
          <t xml:space="preserve">  },</t>
        </is>
      </c>
    </row>
    <row r="3159">
      <c r="A3159" s="84" t="inlineStr">
        <is>
          <t xml:space="preserve">  {</t>
        </is>
      </c>
    </row>
    <row r="3160">
      <c r="A3160" s="84" t="inlineStr">
        <is>
          <t xml:space="preserve">    "id": "aisha-rahman",</t>
        </is>
      </c>
    </row>
    <row r="3161">
      <c r="A3161" s="84" t="inlineStr">
        <is>
          <t xml:space="preserve">    "name": "Aisha Rahman",</t>
        </is>
      </c>
    </row>
    <row r="3162">
      <c r="A3162" s="84" t="inlineStr">
        <is>
          <t xml:space="preserve">    "handle": "@aishacozygames",</t>
        </is>
      </c>
    </row>
    <row r="3163">
      <c r="A3163" s="84" t="inlineStr">
        <is>
          <t xml:space="preserve">    "category": "Gaming",</t>
        </is>
      </c>
    </row>
    <row r="3164">
      <c r="A3164" s="84" t="inlineStr">
        <is>
          <t xml:space="preserve">    "tier": "Nano",</t>
        </is>
      </c>
    </row>
    <row r="3165">
      <c r="A3165" s="84" t="inlineStr">
        <is>
          <t xml:space="preserve">    "subscribers": 8800,</t>
        </is>
      </c>
    </row>
    <row r="3166">
      <c r="A3166" s="84" t="inlineStr">
        <is>
          <t xml:space="preserve">    "avgViews": 6000,</t>
        </is>
      </c>
    </row>
    <row r="3167">
      <c r="A3167" s="84" t="inlineStr">
        <is>
          <t xml:space="preserve">    "engagementRate": 0.119,</t>
        </is>
      </c>
    </row>
    <row r="3168">
      <c r="A3168" s="84" t="inlineStr">
        <is>
          <t xml:space="preserve">    "channelVerified": false,</t>
        </is>
      </c>
    </row>
    <row r="3169">
      <c r="A3169" s="84" t="inlineStr">
        <is>
          <t xml:space="preserve">    "safetyScore": 95,</t>
        </is>
      </c>
    </row>
    <row r="3170">
      <c r="A3170" s="84" t="inlineStr">
        <is>
          <t xml:space="preserve">    "audienceAge": "18-34",</t>
        </is>
      </c>
    </row>
    <row r="3171">
      <c r="A3171" s="84" t="inlineStr">
        <is>
          <t xml:space="preserve">    "audienceGender": "63% F",</t>
        </is>
      </c>
    </row>
    <row r="3172">
      <c r="A3172" s="84" t="inlineStr">
        <is>
          <t xml:space="preserve">    "topCountry": "CA",</t>
        </is>
      </c>
    </row>
    <row r="3173">
      <c r="A3173" s="84" t="inlineStr">
        <is>
          <t xml:space="preserve">    "uploadCadence": "3 / week",</t>
        </is>
      </c>
    </row>
    <row r="3174">
      <c r="A3174" s="84" t="inlineStr">
        <is>
          <t xml:space="preserve">    "avgLengthMin": 12,</t>
        </is>
      </c>
    </row>
    <row r="3175">
      <c r="A3175" s="84" t="inlineStr">
        <is>
          <t xml:space="preserve">    "rates": {</t>
        </is>
      </c>
    </row>
    <row r="3176">
      <c r="A3176" s="84" t="inlineStr">
        <is>
          <t xml:space="preserve">      "integrated": 280,</t>
        </is>
      </c>
    </row>
    <row r="3177">
      <c r="A3177" s="84" t="inlineStr">
        <is>
          <t xml:space="preserve">      "dedicated": 600,</t>
        </is>
      </c>
    </row>
    <row r="3178">
      <c r="A3178" s="84" t="inlineStr">
        <is>
          <t xml:space="preserve">      "short": 140</t>
        </is>
      </c>
    </row>
    <row r="3179">
      <c r="A3179" s="84" t="inlineStr">
        <is>
          <t xml:space="preserve">    },</t>
        </is>
      </c>
    </row>
    <row r="3180">
      <c r="A3180" s="84" t="inlineStr">
        <is>
          <t xml:space="preserve">    "avatarInitials": "AR",</t>
        </is>
      </c>
    </row>
    <row r="3181">
      <c r="A3181" s="84" t="inlineStr">
        <is>
          <t xml:space="preserve">    "avatarColor": "#7D3C98",</t>
        </is>
      </c>
    </row>
    <row r="3182">
      <c r="A3182" s="84" t="inlineStr">
        <is>
          <t xml:space="preserve">    "bio": "Cozy and narrative games for people who hate losing.",</t>
        </is>
      </c>
    </row>
    <row r="3183">
      <c r="A3183" s="84" t="inlineStr">
        <is>
          <t xml:space="preserve">    "languages": [</t>
        </is>
      </c>
    </row>
    <row r="3184">
      <c r="A3184" s="84" t="inlineStr">
        <is>
          <t xml:space="preserve">      "English"</t>
        </is>
      </c>
    </row>
    <row r="3185">
      <c r="A3185" s="84" t="inlineStr">
        <is>
          <t xml:space="preserve">    ],</t>
        </is>
      </c>
    </row>
    <row r="3186">
      <c r="A3186" s="84" t="inlineStr">
        <is>
          <t xml:space="preserve">    "formatsOffered": [</t>
        </is>
      </c>
    </row>
    <row r="3187">
      <c r="A3187" s="84" t="inlineStr">
        <is>
          <t xml:space="preserve">      "Integrated",</t>
        </is>
      </c>
    </row>
    <row r="3188">
      <c r="A3188" s="84" t="inlineStr">
        <is>
          <t xml:space="preserve">      "Short"</t>
        </is>
      </c>
    </row>
    <row r="3189">
      <c r="A3189" s="84" t="inlineStr">
        <is>
          <t xml:space="preserve">    ],</t>
        </is>
      </c>
    </row>
    <row r="3190">
      <c r="A3190" s="84" t="inlineStr">
        <is>
          <t xml:space="preserve">    "turnaroundDays": 7,</t>
        </is>
      </c>
    </row>
    <row r="3191">
      <c r="A3191" s="84" t="inlineStr">
        <is>
          <t xml:space="preserve">    "workedWith": [</t>
        </is>
      </c>
    </row>
    <row r="3192">
      <c r="A3192" s="84" t="inlineStr">
        <is>
          <t xml:space="preserve">      "Gaming Peripherals",</t>
        </is>
      </c>
    </row>
    <row r="3193">
      <c r="A3193" s="84" t="inlineStr">
        <is>
          <t xml:space="preserve">      "Game Publishers"</t>
        </is>
      </c>
    </row>
    <row r="3194">
      <c r="A3194" s="84" t="inlineStr">
        <is>
          <t xml:space="preserve">    ],</t>
        </is>
      </c>
    </row>
    <row r="3195">
      <c r="A3195" s="84" t="inlineStr">
        <is>
          <t xml:space="preserve">    "recentVideos": [</t>
        </is>
      </c>
    </row>
    <row r="3196">
      <c r="A3196" s="84" t="inlineStr">
        <is>
          <t xml:space="preserve">      {</t>
        </is>
      </c>
    </row>
    <row r="3197">
      <c r="A3197" s="84" t="inlineStr">
        <is>
          <t xml:space="preserve">        "title": "Cozy Games for People Who Hate Losing",</t>
        </is>
      </c>
    </row>
    <row r="3198">
      <c r="A3198" s="84" t="inlineStr">
        <is>
          <t xml:space="preserve">        "daysAgo": 3,</t>
        </is>
      </c>
    </row>
    <row r="3199">
      <c r="A3199" s="84" t="inlineStr">
        <is>
          <t xml:space="preserve">        "views": 11000,</t>
        </is>
      </c>
    </row>
    <row r="3200">
      <c r="A3200" s="84" t="inlineStr">
        <is>
          <t xml:space="preserve">        "likes": 1170,</t>
        </is>
      </c>
    </row>
    <row r="3201">
      <c r="A3201" s="84" t="inlineStr">
        <is>
          <t xml:space="preserve">        "comments": 130,</t>
        </is>
      </c>
    </row>
    <row r="3202">
      <c r="A3202" s="84" t="inlineStr">
        <is>
          <t xml:space="preserve">        "hadSponsor": false,</t>
        </is>
      </c>
    </row>
    <row r="3203">
      <c r="A3203" s="84" t="inlineStr">
        <is>
          <t xml:space="preserve">        "topicTags": [</t>
        </is>
      </c>
    </row>
    <row r="3204">
      <c r="A3204" s="84" t="inlineStr">
        <is>
          <t xml:space="preserve">          "cozy",</t>
        </is>
      </c>
    </row>
    <row r="3205">
      <c r="A3205" s="84" t="inlineStr">
        <is>
          <t xml:space="preserve">          "recommendations",</t>
        </is>
      </c>
    </row>
    <row r="3206">
      <c r="A3206" s="84" t="inlineStr">
        <is>
          <t xml:space="preserve">          "narrative"</t>
        </is>
      </c>
    </row>
    <row r="3207">
      <c r="A3207" s="84" t="inlineStr">
        <is>
          <t xml:space="preserve">        ]</t>
        </is>
      </c>
    </row>
    <row r="3208">
      <c r="A3208" s="84" t="inlineStr">
        <is>
          <t xml:space="preserve">      },</t>
        </is>
      </c>
    </row>
    <row r="3209">
      <c r="A3209" s="84" t="inlineStr">
        <is>
          <t xml:space="preserve">      {</t>
        </is>
      </c>
    </row>
    <row r="3210">
      <c r="A3210" s="84" t="inlineStr">
        <is>
          <t xml:space="preserve">        "title": "Is This Headset Worth It for Gaming?",</t>
        </is>
      </c>
    </row>
    <row r="3211">
      <c r="A3211" s="84" t="inlineStr">
        <is>
          <t xml:space="preserve">        "daysAgo": 18,</t>
        </is>
      </c>
    </row>
    <row r="3212">
      <c r="A3212" s="84" t="inlineStr">
        <is>
          <t xml:space="preserve">        "views": 5000,</t>
        </is>
      </c>
    </row>
    <row r="3213">
      <c r="A3213" s="84" t="inlineStr">
        <is>
          <t xml:space="preserve">        "likes": 510,</t>
        </is>
      </c>
    </row>
    <row r="3214">
      <c r="A3214" s="84" t="inlineStr">
        <is>
          <t xml:space="preserve">        "comments": 55,</t>
        </is>
      </c>
    </row>
    <row r="3215">
      <c r="A3215" s="84" t="inlineStr">
        <is>
          <t xml:space="preserve">        "hadSponsor": false,</t>
        </is>
      </c>
    </row>
    <row r="3216">
      <c r="A3216" s="84" t="inlineStr">
        <is>
          <t xml:space="preserve">        "topicTags": [</t>
        </is>
      </c>
    </row>
    <row r="3217">
      <c r="A3217" s="84" t="inlineStr">
        <is>
          <t xml:space="preserve">          "gear",</t>
        </is>
      </c>
    </row>
    <row r="3218">
      <c r="A3218" s="84" t="inlineStr">
        <is>
          <t xml:space="preserve">          "review",</t>
        </is>
      </c>
    </row>
    <row r="3219">
      <c r="A3219" s="84" t="inlineStr">
        <is>
          <t xml:space="preserve">          "peripherals"</t>
        </is>
      </c>
    </row>
    <row r="3220">
      <c r="A3220" s="84" t="inlineStr">
        <is>
          <t xml:space="preserve">        ]</t>
        </is>
      </c>
    </row>
    <row r="3221">
      <c r="A3221" s="84" t="inlineStr">
        <is>
          <t xml:space="preserve">      },</t>
        </is>
      </c>
    </row>
    <row r="3222">
      <c r="A3222" s="84" t="inlineStr">
        <is>
          <t xml:space="preserve">      {</t>
        </is>
      </c>
    </row>
    <row r="3223">
      <c r="A3223" s="84" t="inlineStr">
        <is>
          <t xml:space="preserve">        "title": "The Settings That Doubled My FPS",</t>
        </is>
      </c>
    </row>
    <row r="3224">
      <c r="A3224" s="84" t="inlineStr">
        <is>
          <t xml:space="preserve">        "daysAgo": 24,</t>
        </is>
      </c>
    </row>
    <row r="3225">
      <c r="A3225" s="84" t="inlineStr">
        <is>
          <t xml:space="preserve">        "views": 7000,</t>
        </is>
      </c>
    </row>
    <row r="3226">
      <c r="A3226" s="84" t="inlineStr">
        <is>
          <t xml:space="preserve">        "likes": 800,</t>
        </is>
      </c>
    </row>
    <row r="3227">
      <c r="A3227" s="84" t="inlineStr">
        <is>
          <t xml:space="preserve">        "comments": 90,</t>
        </is>
      </c>
    </row>
    <row r="3228">
      <c r="A3228" s="84" t="inlineStr">
        <is>
          <t xml:space="preserve">        "hadSponsor": false,</t>
        </is>
      </c>
    </row>
    <row r="3229">
      <c r="A3229" s="84" t="inlineStr">
        <is>
          <t xml:space="preserve">        "topicTags": [</t>
        </is>
      </c>
    </row>
    <row r="3230">
      <c r="A3230" s="84" t="inlineStr">
        <is>
          <t xml:space="preserve">          "settings",</t>
        </is>
      </c>
    </row>
    <row r="3231">
      <c r="A3231" s="84" t="inlineStr">
        <is>
          <t xml:space="preserve">          "how-to",</t>
        </is>
      </c>
    </row>
    <row r="3232">
      <c r="A3232" s="84" t="inlineStr">
        <is>
          <t xml:space="preserve">          "performance"</t>
        </is>
      </c>
    </row>
    <row r="3233">
      <c r="A3233" s="84" t="inlineStr">
        <is>
          <t xml:space="preserve">        ]</t>
        </is>
      </c>
    </row>
    <row r="3234">
      <c r="A3234" s="84" t="inlineStr">
        <is>
          <t xml:space="preserve">      }</t>
        </is>
      </c>
    </row>
    <row r="3235">
      <c r="A3235" s="84" t="inlineStr">
        <is>
          <t xml:space="preserve">    ]</t>
        </is>
      </c>
    </row>
    <row r="3236">
      <c r="A3236" s="84" t="inlineStr">
        <is>
          <t xml:space="preserve">  },</t>
        </is>
      </c>
    </row>
    <row r="3237">
      <c r="A3237" s="84" t="inlineStr">
        <is>
          <t xml:space="preserve">  {</t>
        </is>
      </c>
    </row>
    <row r="3238">
      <c r="A3238" s="84" t="inlineStr">
        <is>
          <t xml:space="preserve">    "id": "julian-reyes",</t>
        </is>
      </c>
    </row>
    <row r="3239">
      <c r="A3239" s="84" t="inlineStr">
        <is>
          <t xml:space="preserve">    "name": "Julian Reyes",</t>
        </is>
      </c>
    </row>
    <row r="3240">
      <c r="A3240" s="84" t="inlineStr">
        <is>
          <t xml:space="preserve">    "handle": "@julianmoney",</t>
        </is>
      </c>
    </row>
    <row r="3241">
      <c r="A3241" s="84" t="inlineStr">
        <is>
          <t xml:space="preserve">    "category": "Personal Finance",</t>
        </is>
      </c>
    </row>
    <row r="3242">
      <c r="A3242" s="84" t="inlineStr">
        <is>
          <t xml:space="preserve">    "tier": "Micro",</t>
        </is>
      </c>
    </row>
    <row r="3243">
      <c r="A3243" s="84" t="inlineStr">
        <is>
          <t xml:space="preserve">    "subscribers": 69000,</t>
        </is>
      </c>
    </row>
    <row r="3244">
      <c r="A3244" s="84" t="inlineStr">
        <is>
          <t xml:space="preserve">    "avgViews": 31000,</t>
        </is>
      </c>
    </row>
    <row r="3245">
      <c r="A3245" s="84" t="inlineStr">
        <is>
          <t xml:space="preserve">    "engagementRate": 0.06,</t>
        </is>
      </c>
    </row>
    <row r="3246">
      <c r="A3246" s="84" t="inlineStr">
        <is>
          <t xml:space="preserve">    "channelVerified": true,</t>
        </is>
      </c>
    </row>
    <row r="3247">
      <c r="A3247" s="84" t="inlineStr">
        <is>
          <t xml:space="preserve">    "safetyScore": 89,</t>
        </is>
      </c>
    </row>
    <row r="3248">
      <c r="A3248" s="84" t="inlineStr">
        <is>
          <t xml:space="preserve">    "audienceAge": "25-34",</t>
        </is>
      </c>
    </row>
    <row r="3249">
      <c r="A3249" s="84" t="inlineStr">
        <is>
          <t xml:space="preserve">    "audienceGender": "58% M",</t>
        </is>
      </c>
    </row>
    <row r="3250">
      <c r="A3250" s="84" t="inlineStr">
        <is>
          <t xml:space="preserve">    "topCountry": "US",</t>
        </is>
      </c>
    </row>
    <row r="3251">
      <c r="A3251" s="84" t="inlineStr">
        <is>
          <t xml:space="preserve">    "uploadCadence": "1 / week",</t>
        </is>
      </c>
    </row>
    <row r="3252">
      <c r="A3252" s="84" t="inlineStr">
        <is>
          <t xml:space="preserve">    "avgLengthMin": 14,</t>
        </is>
      </c>
    </row>
    <row r="3253">
      <c r="A3253" s="84" t="inlineStr">
        <is>
          <t xml:space="preserve">    "rates": {</t>
        </is>
      </c>
    </row>
    <row r="3254">
      <c r="A3254" s="84" t="inlineStr">
        <is>
          <t xml:space="preserve">      "integrated": 1140,</t>
        </is>
      </c>
    </row>
    <row r="3255">
      <c r="A3255" s="84" t="inlineStr">
        <is>
          <t xml:space="preserve">      "dedicated": 2420,</t>
        </is>
      </c>
    </row>
    <row r="3256">
      <c r="A3256" s="84" t="inlineStr">
        <is>
          <t xml:space="preserve">      "short": 580</t>
        </is>
      </c>
    </row>
    <row r="3257">
      <c r="A3257" s="84" t="inlineStr">
        <is>
          <t xml:space="preserve">    },</t>
        </is>
      </c>
    </row>
    <row r="3258">
      <c r="A3258" s="84" t="inlineStr">
        <is>
          <t xml:space="preserve">    "avatarInitials": "JR",</t>
        </is>
      </c>
    </row>
    <row r="3259">
      <c r="A3259" s="84" t="inlineStr">
        <is>
          <t xml:space="preserve">    "avatarColor": "#1E8449",</t>
        </is>
      </c>
    </row>
    <row r="3260">
      <c r="A3260" s="84" t="inlineStr">
        <is>
          <t xml:space="preserve">    "bio": "Index-fund-boring investing for first-time earners.",</t>
        </is>
      </c>
    </row>
    <row r="3261">
      <c r="A3261" s="84" t="inlineStr">
        <is>
          <t xml:space="preserve">    "languages": [</t>
        </is>
      </c>
    </row>
    <row r="3262">
      <c r="A3262" s="84" t="inlineStr">
        <is>
          <t xml:space="preserve">      "English",</t>
        </is>
      </c>
    </row>
    <row r="3263">
      <c r="A3263" s="84" t="inlineStr">
        <is>
          <t xml:space="preserve">      "Spanish"</t>
        </is>
      </c>
    </row>
    <row r="3264">
      <c r="A3264" s="84" t="inlineStr">
        <is>
          <t xml:space="preserve">    ],</t>
        </is>
      </c>
    </row>
    <row r="3265">
      <c r="A3265" s="84" t="inlineStr">
        <is>
          <t xml:space="preserve">    "formatsOffered": [</t>
        </is>
      </c>
    </row>
    <row r="3266">
      <c r="A3266" s="84" t="inlineStr">
        <is>
          <t xml:space="preserve">      "Integrated",</t>
        </is>
      </c>
    </row>
    <row r="3267">
      <c r="A3267" s="84" t="inlineStr">
        <is>
          <t xml:space="preserve">      "Dedicated",</t>
        </is>
      </c>
    </row>
    <row r="3268">
      <c r="A3268" s="84" t="inlineStr">
        <is>
          <t xml:space="preserve">      "Short"</t>
        </is>
      </c>
    </row>
    <row r="3269">
      <c r="A3269" s="84" t="inlineStr">
        <is>
          <t xml:space="preserve">    ],</t>
        </is>
      </c>
    </row>
    <row r="3270">
      <c r="A3270" s="84" t="inlineStr">
        <is>
          <t xml:space="preserve">    "turnaroundDays": 12,</t>
        </is>
      </c>
    </row>
    <row r="3271">
      <c r="A3271" s="84" t="inlineStr">
        <is>
          <t xml:space="preserve">    "workedWith": [</t>
        </is>
      </c>
    </row>
    <row r="3272">
      <c r="A3272" s="84" t="inlineStr">
        <is>
          <t xml:space="preserve">      "Fintech",</t>
        </is>
      </c>
    </row>
    <row r="3273">
      <c r="A3273" s="84" t="inlineStr">
        <is>
          <t xml:space="preserve">      "Budgeting Apps"</t>
        </is>
      </c>
    </row>
    <row r="3274">
      <c r="A3274" s="84" t="inlineStr">
        <is>
          <t xml:space="preserve">    ],</t>
        </is>
      </c>
    </row>
    <row r="3275">
      <c r="A3275" s="84" t="inlineStr">
        <is>
          <t xml:space="preserve">    "recentVideos": [</t>
        </is>
      </c>
    </row>
    <row r="3276">
      <c r="A3276" s="84" t="inlineStr">
        <is>
          <t xml:space="preserve">      {</t>
        </is>
      </c>
    </row>
    <row r="3277">
      <c r="A3277" s="84" t="inlineStr">
        <is>
          <t xml:space="preserve">        "title": "Apps I Use to Track Every Dollar",</t>
        </is>
      </c>
    </row>
    <row r="3278">
      <c r="A3278" s="84" t="inlineStr">
        <is>
          <t xml:space="preserve">        "daysAgo": 8,</t>
        </is>
      </c>
    </row>
    <row r="3279">
      <c r="A3279" s="84" t="inlineStr">
        <is>
          <t xml:space="preserve">        "views": 39000,</t>
        </is>
      </c>
    </row>
    <row r="3280">
      <c r="A3280" s="84" t="inlineStr">
        <is>
          <t xml:space="preserve">        "likes": 2030,</t>
        </is>
      </c>
    </row>
    <row r="3281">
      <c r="A3281" s="84" t="inlineStr">
        <is>
          <t xml:space="preserve">        "comments": 225,</t>
        </is>
      </c>
    </row>
    <row r="3282">
      <c r="A3282" s="84" t="inlineStr">
        <is>
          <t xml:space="preserve">        "hadSponsor": false,</t>
        </is>
      </c>
    </row>
    <row r="3283">
      <c r="A3283" s="84" t="inlineStr">
        <is>
          <t xml:space="preserve">        "topicTags": [</t>
        </is>
      </c>
    </row>
    <row r="3284">
      <c r="A3284" s="84" t="inlineStr">
        <is>
          <t xml:space="preserve">          "apps",</t>
        </is>
      </c>
    </row>
    <row r="3285">
      <c r="A3285" s="84" t="inlineStr">
        <is>
          <t xml:space="preserve">          "budgeting",</t>
        </is>
      </c>
    </row>
    <row r="3286">
      <c r="A3286" s="84" t="inlineStr">
        <is>
          <t xml:space="preserve">          "tools"</t>
        </is>
      </c>
    </row>
    <row r="3287">
      <c r="A3287" s="84" t="inlineStr">
        <is>
          <t xml:space="preserve">        ]</t>
        </is>
      </c>
    </row>
    <row r="3288">
      <c r="A3288" s="84" t="inlineStr">
        <is>
          <t xml:space="preserve">      },</t>
        </is>
      </c>
    </row>
    <row r="3289">
      <c r="A3289" s="84" t="inlineStr">
        <is>
          <t xml:space="preserve">      {</t>
        </is>
      </c>
    </row>
    <row r="3290">
      <c r="A3290" s="84" t="inlineStr">
        <is>
          <t xml:space="preserve">        "title": "What Nobody Tells First-Time Earners",</t>
        </is>
      </c>
    </row>
    <row r="3291">
      <c r="A3291" s="84" t="inlineStr">
        <is>
          <t xml:space="preserve">        "daysAgo": 17,</t>
        </is>
      </c>
    </row>
    <row r="3292">
      <c r="A3292" s="84" t="inlineStr">
        <is>
          <t xml:space="preserve">        "views": 28000,</t>
        </is>
      </c>
    </row>
    <row r="3293">
      <c r="A3293" s="84" t="inlineStr">
        <is>
          <t xml:space="preserve">        "likes": 1440,</t>
        </is>
      </c>
    </row>
    <row r="3294">
      <c r="A3294" s="84" t="inlineStr">
        <is>
          <t xml:space="preserve">        "comments": 160,</t>
        </is>
      </c>
    </row>
    <row r="3295">
      <c r="A3295" s="84" t="inlineStr">
        <is>
          <t xml:space="preserve">        "hadSponsor": false,</t>
        </is>
      </c>
    </row>
    <row r="3296">
      <c r="A3296" s="84" t="inlineStr">
        <is>
          <t xml:space="preserve">        "topicTags": [</t>
        </is>
      </c>
    </row>
    <row r="3297">
      <c r="A3297" s="84" t="inlineStr">
        <is>
          <t xml:space="preserve">          "beginner",</t>
        </is>
      </c>
    </row>
    <row r="3298">
      <c r="A3298" s="84" t="inlineStr">
        <is>
          <t xml:space="preserve">          "money",</t>
        </is>
      </c>
    </row>
    <row r="3299">
      <c r="A3299" s="84" t="inlineStr">
        <is>
          <t xml:space="preserve">          "advice"</t>
        </is>
      </c>
    </row>
    <row r="3300">
      <c r="A3300" s="84" t="inlineStr">
        <is>
          <t xml:space="preserve">        ]</t>
        </is>
      </c>
    </row>
    <row r="3301">
      <c r="A3301" s="84" t="inlineStr">
        <is>
          <t xml:space="preserve">      },</t>
        </is>
      </c>
    </row>
    <row r="3302">
      <c r="A3302" s="84" t="inlineStr">
        <is>
          <t xml:space="preserve">      {</t>
        </is>
      </c>
    </row>
    <row r="3303">
      <c r="A3303" s="84" t="inlineStr">
        <is>
          <t xml:space="preserve">        "title": "Cutting $300 From My Month",</t>
        </is>
      </c>
    </row>
    <row r="3304">
      <c r="A3304" s="84" t="inlineStr">
        <is>
          <t xml:space="preserve">        "daysAgo": 29,</t>
        </is>
      </c>
    </row>
    <row r="3305">
      <c r="A3305" s="84" t="inlineStr">
        <is>
          <t xml:space="preserve">        "views": 33000,</t>
        </is>
      </c>
    </row>
    <row r="3306">
      <c r="A3306" s="84" t="inlineStr">
        <is>
          <t xml:space="preserve">        "likes": 1790,</t>
        </is>
      </c>
    </row>
    <row r="3307">
      <c r="A3307" s="84" t="inlineStr">
        <is>
          <t xml:space="preserve">        "comments": 200,</t>
        </is>
      </c>
    </row>
    <row r="3308">
      <c r="A3308" s="84" t="inlineStr">
        <is>
          <t xml:space="preserve">        "hadSponsor": true,</t>
        </is>
      </c>
    </row>
    <row r="3309">
      <c r="A3309" s="84" t="inlineStr">
        <is>
          <t xml:space="preserve">        "topicTags": [</t>
        </is>
      </c>
    </row>
    <row r="3310">
      <c r="A3310" s="84" t="inlineStr">
        <is>
          <t xml:space="preserve">          "budget",</t>
        </is>
      </c>
    </row>
    <row r="3311">
      <c r="A3311" s="84" t="inlineStr">
        <is>
          <t xml:space="preserve">          "saving",</t>
        </is>
      </c>
    </row>
    <row r="3312">
      <c r="A3312" s="84" t="inlineStr">
        <is>
          <t xml:space="preserve">          "how-to"</t>
        </is>
      </c>
    </row>
    <row r="3313">
      <c r="A3313" s="84" t="inlineStr">
        <is>
          <t xml:space="preserve">        ]</t>
        </is>
      </c>
    </row>
    <row r="3314">
      <c r="A3314" s="84" t="inlineStr">
        <is>
          <t xml:space="preserve">      }</t>
        </is>
      </c>
    </row>
    <row r="3315">
      <c r="A3315" s="84" t="inlineStr">
        <is>
          <t xml:space="preserve">    ]</t>
        </is>
      </c>
    </row>
    <row r="3316">
      <c r="A3316" s="84" t="inlineStr">
        <is>
          <t xml:space="preserve">  },</t>
        </is>
      </c>
    </row>
    <row r="3317">
      <c r="A3317" s="84" t="inlineStr">
        <is>
          <t xml:space="preserve">  {</t>
        </is>
      </c>
    </row>
    <row r="3318">
      <c r="A3318" s="84" t="inlineStr">
        <is>
          <t xml:space="preserve">    "id": "sofie-larsen",</t>
        </is>
      </c>
    </row>
    <row r="3319">
      <c r="A3319" s="84" t="inlineStr">
        <is>
          <t xml:space="preserve">    "name": "Sofie Larsen",</t>
        </is>
      </c>
    </row>
    <row r="3320">
      <c r="A3320" s="84" t="inlineStr">
        <is>
          <t xml:space="preserve">    "handle": "@sofiebudgets",</t>
        </is>
      </c>
    </row>
    <row r="3321">
      <c r="A3321" s="84" t="inlineStr">
        <is>
          <t xml:space="preserve">    "category": "Personal Finance",</t>
        </is>
      </c>
    </row>
    <row r="3322">
      <c r="A3322" s="84" t="inlineStr">
        <is>
          <t xml:space="preserve">    "tier": "Nano",</t>
        </is>
      </c>
    </row>
    <row r="3323">
      <c r="A3323" s="84" t="inlineStr">
        <is>
          <t xml:space="preserve">    "subscribers": 7100,</t>
        </is>
      </c>
    </row>
    <row r="3324">
      <c r="A3324" s="84" t="inlineStr">
        <is>
          <t xml:space="preserve">    "avgViews": 4000,</t>
        </is>
      </c>
    </row>
    <row r="3325">
      <c r="A3325" s="84" t="inlineStr">
        <is>
          <t xml:space="preserve">    "engagementRate": 0.107,</t>
        </is>
      </c>
    </row>
    <row r="3326">
      <c r="A3326" s="84" t="inlineStr">
        <is>
          <t xml:space="preserve">    "channelVerified": false,</t>
        </is>
      </c>
    </row>
    <row r="3327">
      <c r="A3327" s="84" t="inlineStr">
        <is>
          <t xml:space="preserve">    "safetyScore": 91,</t>
        </is>
      </c>
    </row>
    <row r="3328">
      <c r="A3328" s="84" t="inlineStr">
        <is>
          <t xml:space="preserve">    "audienceAge": "25-34",</t>
        </is>
      </c>
    </row>
    <row r="3329">
      <c r="A3329" s="84" t="inlineStr">
        <is>
          <t xml:space="preserve">    "audienceGender": "61% F",</t>
        </is>
      </c>
    </row>
    <row r="3330">
      <c r="A3330" s="84" t="inlineStr">
        <is>
          <t xml:space="preserve">    "topCountry": "US",</t>
        </is>
      </c>
    </row>
    <row r="3331">
      <c r="A3331" s="84" t="inlineStr">
        <is>
          <t xml:space="preserve">    "uploadCadence": "2 / week",</t>
        </is>
      </c>
    </row>
    <row r="3332">
      <c r="A3332" s="84" t="inlineStr">
        <is>
          <t xml:space="preserve">    "avgLengthMin": 11,</t>
        </is>
      </c>
    </row>
    <row r="3333">
      <c r="A3333" s="84" t="inlineStr">
        <is>
          <t xml:space="preserve">    "rates": {</t>
        </is>
      </c>
    </row>
    <row r="3334">
      <c r="A3334" s="84" t="inlineStr">
        <is>
          <t xml:space="preserve">      "integrated": 190,</t>
        </is>
      </c>
    </row>
    <row r="3335">
      <c r="A3335" s="84" t="inlineStr">
        <is>
          <t xml:space="preserve">      "dedicated": 400,</t>
        </is>
      </c>
    </row>
    <row r="3336">
      <c r="A3336" s="84" t="inlineStr">
        <is>
          <t xml:space="preserve">      "short": 100</t>
        </is>
      </c>
    </row>
    <row r="3337">
      <c r="A3337" s="84" t="inlineStr">
        <is>
          <t xml:space="preserve">    },</t>
        </is>
      </c>
    </row>
    <row r="3338">
      <c r="A3338" s="84" t="inlineStr">
        <is>
          <t xml:space="preserve">    "avatarInitials": "SL",</t>
        </is>
      </c>
    </row>
    <row r="3339">
      <c r="A3339" s="84" t="inlineStr">
        <is>
          <t xml:space="preserve">    "avatarColor": "#229954",</t>
        </is>
      </c>
    </row>
    <row r="3340">
      <c r="A3340" s="84" t="inlineStr">
        <is>
          <t xml:space="preserve">    "bio": "No-shame budgeting and debt payoff, in public.",</t>
        </is>
      </c>
    </row>
    <row r="3341">
      <c r="A3341" s="84" t="inlineStr">
        <is>
          <t xml:space="preserve">    "languages": [</t>
        </is>
      </c>
    </row>
    <row r="3342">
      <c r="A3342" s="84" t="inlineStr">
        <is>
          <t xml:space="preserve">      "English"</t>
        </is>
      </c>
    </row>
    <row r="3343">
      <c r="A3343" s="84" t="inlineStr">
        <is>
          <t xml:space="preserve">    ],</t>
        </is>
      </c>
    </row>
    <row r="3344">
      <c r="A3344" s="84" t="inlineStr">
        <is>
          <t xml:space="preserve">    "formatsOffered": [</t>
        </is>
      </c>
    </row>
    <row r="3345">
      <c r="A3345" s="84" t="inlineStr">
        <is>
          <t xml:space="preserve">      "Integrated",</t>
        </is>
      </c>
    </row>
    <row r="3346">
      <c r="A3346" s="84" t="inlineStr">
        <is>
          <t xml:space="preserve">      "Dedicated",</t>
        </is>
      </c>
    </row>
    <row r="3347">
      <c r="A3347" s="84" t="inlineStr">
        <is>
          <t xml:space="preserve">      "Short"</t>
        </is>
      </c>
    </row>
    <row r="3348">
      <c r="A3348" s="84" t="inlineStr">
        <is>
          <t xml:space="preserve">    ],</t>
        </is>
      </c>
    </row>
    <row r="3349">
      <c r="A3349" s="84" t="inlineStr">
        <is>
          <t xml:space="preserve">    "turnaroundDays": 9,</t>
        </is>
      </c>
    </row>
    <row r="3350">
      <c r="A3350" s="84" t="inlineStr">
        <is>
          <t xml:space="preserve">    "workedWith": [</t>
        </is>
      </c>
    </row>
    <row r="3351">
      <c r="A3351" s="84" t="inlineStr">
        <is>
          <t xml:space="preserve">      "Fintech",</t>
        </is>
      </c>
    </row>
    <row r="3352">
      <c r="A3352" s="84" t="inlineStr">
        <is>
          <t xml:space="preserve">      "Budgeting Apps"</t>
        </is>
      </c>
    </row>
    <row r="3353">
      <c r="A3353" s="84" t="inlineStr">
        <is>
          <t xml:space="preserve">    ],</t>
        </is>
      </c>
    </row>
    <row r="3354">
      <c r="A3354" s="84" t="inlineStr">
        <is>
          <t xml:space="preserve">    "recentVideos": [</t>
        </is>
      </c>
    </row>
    <row r="3355">
      <c r="A3355" s="84" t="inlineStr">
        <is>
          <t xml:space="preserve">      {</t>
        </is>
      </c>
    </row>
    <row r="3356">
      <c r="A3356" s="84" t="inlineStr">
        <is>
          <t xml:space="preserve">        "title": "Index Funds, Explained Boringly",</t>
        </is>
      </c>
    </row>
    <row r="3357">
      <c r="A3357" s="84" t="inlineStr">
        <is>
          <t xml:space="preserve">        "daysAgo": 7,</t>
        </is>
      </c>
    </row>
    <row r="3358">
      <c r="A3358" s="84" t="inlineStr">
        <is>
          <t xml:space="preserve">        "views": 5000,</t>
        </is>
      </c>
    </row>
    <row r="3359">
      <c r="A3359" s="84" t="inlineStr">
        <is>
          <t xml:space="preserve">        "likes": 460,</t>
        </is>
      </c>
    </row>
    <row r="3360">
      <c r="A3360" s="84" t="inlineStr">
        <is>
          <t xml:space="preserve">        "comments": 50,</t>
        </is>
      </c>
    </row>
    <row r="3361">
      <c r="A3361" s="84" t="inlineStr">
        <is>
          <t xml:space="preserve">        "hadSponsor": false,</t>
        </is>
      </c>
    </row>
    <row r="3362">
      <c r="A3362" s="84" t="inlineStr">
        <is>
          <t xml:space="preserve">        "topicTags": [</t>
        </is>
      </c>
    </row>
    <row r="3363">
      <c r="A3363" s="84" t="inlineStr">
        <is>
          <t xml:space="preserve">          "investing",</t>
        </is>
      </c>
    </row>
    <row r="3364">
      <c r="A3364" s="84" t="inlineStr">
        <is>
          <t xml:space="preserve">          "beginner",</t>
        </is>
      </c>
    </row>
    <row r="3365">
      <c r="A3365" s="84" t="inlineStr">
        <is>
          <t xml:space="preserve">          "index-funds"</t>
        </is>
      </c>
    </row>
    <row r="3366">
      <c r="A3366" s="84" t="inlineStr">
        <is>
          <t xml:space="preserve">        ]</t>
        </is>
      </c>
    </row>
    <row r="3367">
      <c r="A3367" s="84" t="inlineStr">
        <is>
          <t xml:space="preserve">      },</t>
        </is>
      </c>
    </row>
    <row r="3368">
      <c r="A3368" s="84" t="inlineStr">
        <is>
          <t xml:space="preserve">      {</t>
        </is>
      </c>
    </row>
    <row r="3369">
      <c r="A3369" s="84" t="inlineStr">
        <is>
          <t xml:space="preserve">        "title": "My Real Budget on a $200 Income",</t>
        </is>
      </c>
    </row>
    <row r="3370">
      <c r="A3370" s="84" t="inlineStr">
        <is>
          <t xml:space="preserve">        "daysAgo": 14,</t>
        </is>
      </c>
    </row>
    <row r="3371">
      <c r="A3371" s="84" t="inlineStr">
        <is>
          <t xml:space="preserve">        "views": 4000,</t>
        </is>
      </c>
    </row>
    <row r="3372">
      <c r="A3372" s="84" t="inlineStr">
        <is>
          <t xml:space="preserve">        "likes": 380,</t>
        </is>
      </c>
    </row>
    <row r="3373">
      <c r="A3373" s="84" t="inlineStr">
        <is>
          <t xml:space="preserve">        "comments": 45,</t>
        </is>
      </c>
    </row>
    <row r="3374">
      <c r="A3374" s="84" t="inlineStr">
        <is>
          <t xml:space="preserve">        "hadSponsor": true,</t>
        </is>
      </c>
    </row>
    <row r="3375">
      <c r="A3375" s="84" t="inlineStr">
        <is>
          <t xml:space="preserve">        "topicTags": [</t>
        </is>
      </c>
    </row>
    <row r="3376">
      <c r="A3376" s="84" t="inlineStr">
        <is>
          <t xml:space="preserve">          "budget",</t>
        </is>
      </c>
    </row>
    <row r="3377">
      <c r="A3377" s="84" t="inlineStr">
        <is>
          <t xml:space="preserve">          "realistic",</t>
        </is>
      </c>
    </row>
    <row r="3378">
      <c r="A3378" s="84" t="inlineStr">
        <is>
          <t xml:space="preserve">          "income"</t>
        </is>
      </c>
    </row>
    <row r="3379">
      <c r="A3379" s="84" t="inlineStr">
        <is>
          <t xml:space="preserve">        ]</t>
        </is>
      </c>
    </row>
    <row r="3380">
      <c r="A3380" s="84" t="inlineStr">
        <is>
          <t xml:space="preserve">      },</t>
        </is>
      </c>
    </row>
    <row r="3381">
      <c r="A3381" s="84" t="inlineStr">
        <is>
          <t xml:space="preserve">      {</t>
        </is>
      </c>
    </row>
    <row r="3382">
      <c r="A3382" s="84" t="inlineStr">
        <is>
          <t xml:space="preserve">        "title": "The Debt Payoff That Actually Worked",</t>
        </is>
      </c>
    </row>
    <row r="3383">
      <c r="A3383" s="84" t="inlineStr">
        <is>
          <t xml:space="preserve">        "daysAgo": 25,</t>
        </is>
      </c>
    </row>
    <row r="3384">
      <c r="A3384" s="84" t="inlineStr">
        <is>
          <t xml:space="preserve">        "views": 4000,</t>
        </is>
      </c>
    </row>
    <row r="3385">
      <c r="A3385" s="84" t="inlineStr">
        <is>
          <t xml:space="preserve">        "likes": 400,</t>
        </is>
      </c>
    </row>
    <row r="3386">
      <c r="A3386" s="84" t="inlineStr">
        <is>
          <t xml:space="preserve">        "comments": 45,</t>
        </is>
      </c>
    </row>
    <row r="3387">
      <c r="A3387" s="84" t="inlineStr">
        <is>
          <t xml:space="preserve">        "hadSponsor": true,</t>
        </is>
      </c>
    </row>
    <row r="3388">
      <c r="A3388" s="84" t="inlineStr">
        <is>
          <t xml:space="preserve">        "topicTags": [</t>
        </is>
      </c>
    </row>
    <row r="3389">
      <c r="A3389" s="84" t="inlineStr">
        <is>
          <t xml:space="preserve">          "debt",</t>
        </is>
      </c>
    </row>
    <row r="3390">
      <c r="A3390" s="84" t="inlineStr">
        <is>
          <t xml:space="preserve">          "payoff",</t>
        </is>
      </c>
    </row>
    <row r="3391">
      <c r="A3391" s="84" t="inlineStr">
        <is>
          <t xml:space="preserve">          "how-to"</t>
        </is>
      </c>
    </row>
    <row r="3392">
      <c r="A3392" s="84" t="inlineStr">
        <is>
          <t xml:space="preserve">        ]</t>
        </is>
      </c>
    </row>
    <row r="3393">
      <c r="A3393" s="84" t="inlineStr">
        <is>
          <t xml:space="preserve">      }</t>
        </is>
      </c>
    </row>
    <row r="3394">
      <c r="A3394" s="84" t="inlineStr">
        <is>
          <t xml:space="preserve">    ]</t>
        </is>
      </c>
    </row>
    <row r="3395">
      <c r="A3395" s="84" t="inlineStr">
        <is>
          <t xml:space="preserve">  },</t>
        </is>
      </c>
    </row>
    <row r="3396">
      <c r="A3396" s="84" t="inlineStr">
        <is>
          <t xml:space="preserve">  {</t>
        </is>
      </c>
    </row>
    <row r="3397">
      <c r="A3397" s="84" t="inlineStr">
        <is>
          <t xml:space="preserve">    "id": "andre-costa",</t>
        </is>
      </c>
    </row>
    <row r="3398">
      <c r="A3398" s="84" t="inlineStr">
        <is>
          <t xml:space="preserve">    "name": "André Costa",</t>
        </is>
      </c>
    </row>
    <row r="3399">
      <c r="A3399" s="84" t="inlineStr">
        <is>
          <t xml:space="preserve">    "handle": "@andrecafe",</t>
        </is>
      </c>
    </row>
    <row r="3400">
      <c r="A3400" s="84" t="inlineStr">
        <is>
          <t xml:space="preserve">    "category": "Food &amp; Beverage",</t>
        </is>
      </c>
    </row>
    <row r="3401">
      <c r="A3401" s="84" t="inlineStr">
        <is>
          <t xml:space="preserve">    "tier": "Mid-tier",</t>
        </is>
      </c>
    </row>
    <row r="3402">
      <c r="A3402" s="84" t="inlineStr">
        <is>
          <t xml:space="preserve">    "subscribers": 118912,</t>
        </is>
      </c>
    </row>
    <row r="3403">
      <c r="A3403" s="84" t="inlineStr">
        <is>
          <t xml:space="preserve">    "avgViews": 48000,</t>
        </is>
      </c>
    </row>
    <row r="3404">
      <c r="A3404" s="84" t="inlineStr">
        <is>
          <t xml:space="preserve">    "engagementRate": 0.049,</t>
        </is>
      </c>
    </row>
    <row r="3405">
      <c r="A3405" s="84" t="inlineStr">
        <is>
          <t xml:space="preserve">    "channelVerified": true,</t>
        </is>
      </c>
    </row>
    <row r="3406">
      <c r="A3406" s="84" t="inlineStr">
        <is>
          <t xml:space="preserve">    "safetyScore": 94,</t>
        </is>
      </c>
    </row>
    <row r="3407">
      <c r="A3407" s="84" t="inlineStr">
        <is>
          <t xml:space="preserve">    "audienceAge": "25-44",</t>
        </is>
      </c>
    </row>
    <row r="3408">
      <c r="A3408" s="84" t="inlineStr">
        <is>
          <t xml:space="preserve">    "audienceGender": "55% M",</t>
        </is>
      </c>
    </row>
    <row r="3409">
      <c r="A3409" s="84" t="inlineStr">
        <is>
          <t xml:space="preserve">    "topCountry": "US",</t>
        </is>
      </c>
    </row>
    <row r="3410">
      <c r="A3410" s="84" t="inlineStr">
        <is>
          <t xml:space="preserve">    "uploadCadence": "1 / week",</t>
        </is>
      </c>
    </row>
    <row r="3411">
      <c r="A3411" s="84" t="inlineStr">
        <is>
          <t xml:space="preserve">    "avgLengthMin": 13,</t>
        </is>
      </c>
    </row>
    <row r="3412">
      <c r="A3412" s="84" t="inlineStr">
        <is>
          <t xml:space="preserve">    "rates": {</t>
        </is>
      </c>
    </row>
    <row r="3413">
      <c r="A3413" s="84" t="inlineStr">
        <is>
          <t xml:space="preserve">      "integrated": 1470,</t>
        </is>
      </c>
    </row>
    <row r="3414">
      <c r="A3414" s="84" t="inlineStr">
        <is>
          <t xml:space="preserve">      "dedicated": 3120,</t>
        </is>
      </c>
    </row>
    <row r="3415">
      <c r="A3415" s="84" t="inlineStr">
        <is>
          <t xml:space="preserve">      "short": 750</t>
        </is>
      </c>
    </row>
    <row r="3416">
      <c r="A3416" s="84" t="inlineStr">
        <is>
          <t xml:space="preserve">    },</t>
        </is>
      </c>
    </row>
    <row r="3417">
      <c r="A3417" s="84" t="inlineStr">
        <is>
          <t xml:space="preserve">    "avatarInitials": "AC",</t>
        </is>
      </c>
    </row>
    <row r="3418">
      <c r="A3418" s="84" t="inlineStr">
        <is>
          <t xml:space="preserve">    "avatarColor": "#A04000",</t>
        </is>
      </c>
    </row>
    <row r="3419">
      <c r="A3419" s="84" t="inlineStr">
        <is>
          <t xml:space="preserve">    "bio": "Home-cafe builds: espresso, grinders and pour-over, tested honestly.",</t>
        </is>
      </c>
    </row>
    <row r="3420">
      <c r="A3420" s="84" t="inlineStr">
        <is>
          <t xml:space="preserve">    "languages": [</t>
        </is>
      </c>
    </row>
    <row r="3421">
      <c r="A3421" s="84" t="inlineStr">
        <is>
          <t xml:space="preserve">      "English",</t>
        </is>
      </c>
    </row>
    <row r="3422">
      <c r="A3422" s="84" t="inlineStr">
        <is>
          <t xml:space="preserve">      "Portuguese"</t>
        </is>
      </c>
    </row>
    <row r="3423">
      <c r="A3423" s="84" t="inlineStr">
        <is>
          <t xml:space="preserve">    ],</t>
        </is>
      </c>
    </row>
    <row r="3424">
      <c r="A3424" s="84" t="inlineStr">
        <is>
          <t xml:space="preserve">    "formatsOffered": [</t>
        </is>
      </c>
    </row>
    <row r="3425">
      <c r="A3425" s="84" t="inlineStr">
        <is>
          <t xml:space="preserve">      "Integrated",</t>
        </is>
      </c>
    </row>
    <row r="3426">
      <c r="A3426" s="84" t="inlineStr">
        <is>
          <t xml:space="preserve">      "Dedicated",</t>
        </is>
      </c>
    </row>
    <row r="3427">
      <c r="A3427" s="84" t="inlineStr">
        <is>
          <t xml:space="preserve">      "Short"</t>
        </is>
      </c>
    </row>
    <row r="3428">
      <c r="A3428" s="84" t="inlineStr">
        <is>
          <t xml:space="preserve">    ],</t>
        </is>
      </c>
    </row>
    <row r="3429">
      <c r="A3429" s="84" t="inlineStr">
        <is>
          <t xml:space="preserve">    "turnaroundDays": 14,</t>
        </is>
      </c>
    </row>
    <row r="3430">
      <c r="A3430" s="84" t="inlineStr">
        <is>
          <t xml:space="preserve">    "workedWith": [</t>
        </is>
      </c>
    </row>
    <row r="3431">
      <c r="A3431" s="84" t="inlineStr">
        <is>
          <t xml:space="preserve">      "Coffee Gear",</t>
        </is>
      </c>
    </row>
    <row r="3432">
      <c r="A3432" s="84" t="inlineStr">
        <is>
          <t xml:space="preserve">      "Appliances"</t>
        </is>
      </c>
    </row>
    <row r="3433">
      <c r="A3433" s="84" t="inlineStr">
        <is>
          <t xml:space="preserve">    ],</t>
        </is>
      </c>
    </row>
    <row r="3434">
      <c r="A3434" s="84" t="inlineStr">
        <is>
          <t xml:space="preserve">    "recentVideos": [</t>
        </is>
      </c>
    </row>
    <row r="3435">
      <c r="A3435" s="84" t="inlineStr">
        <is>
          <t xml:space="preserve">      {</t>
        </is>
      </c>
    </row>
    <row r="3436">
      <c r="A3436" s="84" t="inlineStr">
        <is>
          <t xml:space="preserve">        "title": "A Week of No-Waste Meals From One Haul",</t>
        </is>
      </c>
    </row>
    <row r="3437">
      <c r="A3437" s="84" t="inlineStr">
        <is>
          <t xml:space="preserve">        "daysAgo": 5,</t>
        </is>
      </c>
    </row>
    <row r="3438">
      <c r="A3438" s="84" t="inlineStr">
        <is>
          <t xml:space="preserve">        "views": 60000,</t>
        </is>
      </c>
    </row>
    <row r="3439">
      <c r="A3439" s="84" t="inlineStr">
        <is>
          <t xml:space="preserve">        "likes": 2750,</t>
        </is>
      </c>
    </row>
    <row r="3440">
      <c r="A3440" s="84" t="inlineStr">
        <is>
          <t xml:space="preserve">        "comments": 305,</t>
        </is>
      </c>
    </row>
    <row r="3441">
      <c r="A3441" s="84" t="inlineStr">
        <is>
          <t xml:space="preserve">        "hadSponsor": false,</t>
        </is>
      </c>
    </row>
    <row r="3442">
      <c r="A3442" s="84" t="inlineStr">
        <is>
          <t xml:space="preserve">        "topicTags": [</t>
        </is>
      </c>
    </row>
    <row r="3443">
      <c r="A3443" s="84" t="inlineStr">
        <is>
          <t xml:space="preserve">          "meal-prep",</t>
        </is>
      </c>
    </row>
    <row r="3444">
      <c r="A3444" s="84" t="inlineStr">
        <is>
          <t xml:space="preserve">          "budget",</t>
        </is>
      </c>
    </row>
    <row r="3445">
      <c r="A3445" s="84" t="inlineStr">
        <is>
          <t xml:space="preserve">          "zero-waste"</t>
        </is>
      </c>
    </row>
    <row r="3446">
      <c r="A3446" s="84" t="inlineStr">
        <is>
          <t xml:space="preserve">        ]</t>
        </is>
      </c>
    </row>
    <row r="3447">
      <c r="A3447" s="84" t="inlineStr">
        <is>
          <t xml:space="preserve">      },</t>
        </is>
      </c>
    </row>
    <row r="3448">
      <c r="A3448" s="84" t="inlineStr">
        <is>
          <t xml:space="preserve">      {</t>
        </is>
      </c>
    </row>
    <row r="3449">
      <c r="A3449" s="84" t="inlineStr">
        <is>
          <t xml:space="preserve">        "title": "Blind Taste Test: Store Brand vs Name Brand",</t>
        </is>
      </c>
    </row>
    <row r="3450">
      <c r="A3450" s="84" t="inlineStr">
        <is>
          <t xml:space="preserve">        "daysAgo": 15,</t>
        </is>
      </c>
    </row>
    <row r="3451">
      <c r="A3451" s="84" t="inlineStr">
        <is>
          <t xml:space="preserve">        "views": 43000,</t>
        </is>
      </c>
    </row>
    <row r="3452">
      <c r="A3452" s="84" t="inlineStr">
        <is>
          <t xml:space="preserve">        "likes": 1970,</t>
        </is>
      </c>
    </row>
    <row r="3453">
      <c r="A3453" s="84" t="inlineStr">
        <is>
          <t xml:space="preserve">        "comments": 220,</t>
        </is>
      </c>
    </row>
    <row r="3454">
      <c r="A3454" s="84" t="inlineStr">
        <is>
          <t xml:space="preserve">        "hadSponsor": false,</t>
        </is>
      </c>
    </row>
    <row r="3455">
      <c r="A3455" s="84" t="inlineStr">
        <is>
          <t xml:space="preserve">        "topicTags": [</t>
        </is>
      </c>
    </row>
    <row r="3456">
      <c r="A3456" s="84" t="inlineStr">
        <is>
          <t xml:space="preserve">          "taste-test",</t>
        </is>
      </c>
    </row>
    <row r="3457">
      <c r="A3457" s="84" t="inlineStr">
        <is>
          <t xml:space="preserve">          "value",</t>
        </is>
      </c>
    </row>
    <row r="3458">
      <c r="A3458" s="84" t="inlineStr">
        <is>
          <t xml:space="preserve">          "comparison"</t>
        </is>
      </c>
    </row>
    <row r="3459">
      <c r="A3459" s="84" t="inlineStr">
        <is>
          <t xml:space="preserve">        ]</t>
        </is>
      </c>
    </row>
    <row r="3460">
      <c r="A3460" s="84" t="inlineStr">
        <is>
          <t xml:space="preserve">      },</t>
        </is>
      </c>
    </row>
    <row r="3461">
      <c r="A3461" s="84" t="inlineStr">
        <is>
          <t xml:space="preserve">      {</t>
        </is>
      </c>
    </row>
    <row r="3462">
      <c r="A3462" s="84" t="inlineStr">
        <is>
          <t xml:space="preserve">        "title": "5 Pantry Staples I Won't Run Out Of",</t>
        </is>
      </c>
    </row>
    <row r="3463">
      <c r="A3463" s="84" t="inlineStr">
        <is>
          <t xml:space="preserve">        "daysAgo": 27,</t>
        </is>
      </c>
    </row>
    <row r="3464">
      <c r="A3464" s="84" t="inlineStr">
        <is>
          <t xml:space="preserve">        "views": 50000,</t>
        </is>
      </c>
    </row>
    <row r="3465">
      <c r="A3465" s="84" t="inlineStr">
        <is>
          <t xml:space="preserve">        "likes": 2210,</t>
        </is>
      </c>
    </row>
    <row r="3466">
      <c r="A3466" s="84" t="inlineStr">
        <is>
          <t xml:space="preserve">        "comments": 245,</t>
        </is>
      </c>
    </row>
    <row r="3467">
      <c r="A3467" s="84" t="inlineStr">
        <is>
          <t xml:space="preserve">        "hadSponsor": false,</t>
        </is>
      </c>
    </row>
    <row r="3468">
      <c r="A3468" s="84" t="inlineStr">
        <is>
          <t xml:space="preserve">        "topicTags": [</t>
        </is>
      </c>
    </row>
    <row r="3469">
      <c r="A3469" s="84" t="inlineStr">
        <is>
          <t xml:space="preserve">          "pantry",</t>
        </is>
      </c>
    </row>
    <row r="3470">
      <c r="A3470" s="84" t="inlineStr">
        <is>
          <t xml:space="preserve">          "staples",</t>
        </is>
      </c>
    </row>
    <row r="3471">
      <c r="A3471" s="84" t="inlineStr">
        <is>
          <t xml:space="preserve">          "buying-guide"</t>
        </is>
      </c>
    </row>
    <row r="3472">
      <c r="A3472" s="84" t="inlineStr">
        <is>
          <t xml:space="preserve">        ]</t>
        </is>
      </c>
    </row>
    <row r="3473">
      <c r="A3473" s="84" t="inlineStr">
        <is>
          <t xml:space="preserve">      }</t>
        </is>
      </c>
    </row>
    <row r="3474">
      <c r="A3474" s="84" t="inlineStr">
        <is>
          <t xml:space="preserve">    ]</t>
        </is>
      </c>
    </row>
    <row r="3475">
      <c r="A3475" s="84" t="inlineStr">
        <is>
          <t xml:space="preserve">  },</t>
        </is>
      </c>
    </row>
    <row r="3476">
      <c r="A3476" s="84" t="inlineStr">
        <is>
          <t xml:space="preserve">  {</t>
        </is>
      </c>
    </row>
    <row r="3477">
      <c r="A3477" s="84" t="inlineStr">
        <is>
          <t xml:space="preserve">    "id": "lena-kowalski",</t>
        </is>
      </c>
    </row>
    <row r="3478">
      <c r="A3478" s="84" t="inlineStr">
        <is>
          <t xml:space="preserve">    "name": "Lena Kowalski",</t>
        </is>
      </c>
    </row>
    <row r="3479">
      <c r="A3479" s="84" t="inlineStr">
        <is>
          <t xml:space="preserve">    "handle": "@lenabakeshop",</t>
        </is>
      </c>
    </row>
    <row r="3480">
      <c r="A3480" s="84" t="inlineStr">
        <is>
          <t xml:space="preserve">    "category": "Food &amp; Beverage",</t>
        </is>
      </c>
    </row>
    <row r="3481">
      <c r="A3481" s="84" t="inlineStr">
        <is>
          <t xml:space="preserve">    "tier": "Micro",</t>
        </is>
      </c>
    </row>
    <row r="3482">
      <c r="A3482" s="84" t="inlineStr">
        <is>
          <t xml:space="preserve">    "subscribers": 39000,</t>
        </is>
      </c>
    </row>
    <row r="3483">
      <c r="A3483" s="84" t="inlineStr">
        <is>
          <t xml:space="preserve">    "avgViews": 20000,</t>
        </is>
      </c>
    </row>
    <row r="3484">
      <c r="A3484" s="84" t="inlineStr">
        <is>
          <t xml:space="preserve">    "engagementRate": 0.073,</t>
        </is>
      </c>
    </row>
    <row r="3485">
      <c r="A3485" s="84" t="inlineStr">
        <is>
          <t xml:space="preserve">    "channelVerified": true,</t>
        </is>
      </c>
    </row>
    <row r="3486">
      <c r="A3486" s="84" t="inlineStr">
        <is>
          <t xml:space="preserve">    "safetyScore": 96,</t>
        </is>
      </c>
    </row>
    <row r="3487">
      <c r="A3487" s="84" t="inlineStr">
        <is>
          <t xml:space="preserve">    "audienceAge": "25-34",</t>
        </is>
      </c>
    </row>
    <row r="3488">
      <c r="A3488" s="84" t="inlineStr">
        <is>
          <t xml:space="preserve">    "audienceGender": "77% F",</t>
        </is>
      </c>
    </row>
    <row r="3489">
      <c r="A3489" s="84" t="inlineStr">
        <is>
          <t xml:space="preserve">    "topCountry": "US",</t>
        </is>
      </c>
    </row>
    <row r="3490">
      <c r="A3490" s="84" t="inlineStr">
        <is>
          <t xml:space="preserve">    "uploadCadence": "2 / week",</t>
        </is>
      </c>
    </row>
    <row r="3491">
      <c r="A3491" s="84" t="inlineStr">
        <is>
          <t xml:space="preserve">    "avgLengthMin": 12,</t>
        </is>
      </c>
    </row>
    <row r="3492">
      <c r="A3492" s="84" t="inlineStr">
        <is>
          <t xml:space="preserve">    "rates": {</t>
        </is>
      </c>
    </row>
    <row r="3493">
      <c r="A3493" s="84" t="inlineStr">
        <is>
          <t xml:space="preserve">      "integrated": 730,</t>
        </is>
      </c>
    </row>
    <row r="3494">
      <c r="A3494" s="84" t="inlineStr">
        <is>
          <t xml:space="preserve">      "dedicated": 1560,</t>
        </is>
      </c>
    </row>
    <row r="3495">
      <c r="A3495" s="84" t="inlineStr">
        <is>
          <t xml:space="preserve">      "short": 370</t>
        </is>
      </c>
    </row>
    <row r="3496">
      <c r="A3496" s="84" t="inlineStr">
        <is>
          <t xml:space="preserve">    },</t>
        </is>
      </c>
    </row>
    <row r="3497">
      <c r="A3497" s="84" t="inlineStr">
        <is>
          <t xml:space="preserve">    "avatarInitials": "LK",</t>
        </is>
      </c>
    </row>
    <row r="3498">
      <c r="A3498" s="84" t="inlineStr">
        <is>
          <t xml:space="preserve">    "avatarColor": "#B9770E",</t>
        </is>
      </c>
    </row>
    <row r="3499">
      <c r="A3499" s="84" t="inlineStr">
        <is>
          <t xml:space="preserve">    "bio": "Approachable baking with weight-based recipes that actually work.",</t>
        </is>
      </c>
    </row>
    <row r="3500">
      <c r="A3500" s="84" t="inlineStr">
        <is>
          <t xml:space="preserve">    "languages": [</t>
        </is>
      </c>
    </row>
    <row r="3501">
      <c r="A3501" s="84" t="inlineStr">
        <is>
          <t xml:space="preserve">      "English",</t>
        </is>
      </c>
    </row>
    <row r="3502">
      <c r="A3502" s="84" t="inlineStr">
        <is>
          <t xml:space="preserve">      "Polish"</t>
        </is>
      </c>
    </row>
    <row r="3503">
      <c r="A3503" s="84" t="inlineStr">
        <is>
          <t xml:space="preserve">    ],</t>
        </is>
      </c>
    </row>
    <row r="3504">
      <c r="A3504" s="84" t="inlineStr">
        <is>
          <t xml:space="preserve">    "formatsOffered": [</t>
        </is>
      </c>
    </row>
    <row r="3505">
      <c r="A3505" s="84" t="inlineStr">
        <is>
          <t xml:space="preserve">      "Integrated",</t>
        </is>
      </c>
    </row>
    <row r="3506">
      <c r="A3506" s="84" t="inlineStr">
        <is>
          <t xml:space="preserve">      "Dedicated",</t>
        </is>
      </c>
    </row>
    <row r="3507">
      <c r="A3507" s="84" t="inlineStr">
        <is>
          <t xml:space="preserve">      "Short"</t>
        </is>
      </c>
    </row>
    <row r="3508">
      <c r="A3508" s="84" t="inlineStr">
        <is>
          <t xml:space="preserve">    ],</t>
        </is>
      </c>
    </row>
    <row r="3509">
      <c r="A3509" s="84" t="inlineStr">
        <is>
          <t xml:space="preserve">    "turnaroundDays": 10,</t>
        </is>
      </c>
    </row>
    <row r="3510">
      <c r="A3510" s="84" t="inlineStr">
        <is>
          <t xml:space="preserve">    "workedWith": [</t>
        </is>
      </c>
    </row>
    <row r="3511">
      <c r="A3511" s="84" t="inlineStr">
        <is>
          <t xml:space="preserve">      "Baking",</t>
        </is>
      </c>
    </row>
    <row r="3512">
      <c r="A3512" s="84" t="inlineStr">
        <is>
          <t xml:space="preserve">      "Grocery"</t>
        </is>
      </c>
    </row>
    <row r="3513">
      <c r="A3513" s="84" t="inlineStr">
        <is>
          <t xml:space="preserve">    ],</t>
        </is>
      </c>
    </row>
    <row r="3514">
      <c r="A3514" s="84" t="inlineStr">
        <is>
          <t xml:space="preserve">    "recentVideos": [</t>
        </is>
      </c>
    </row>
    <row r="3515">
      <c r="A3515" s="84" t="inlineStr">
        <is>
          <t xml:space="preserve">      {</t>
        </is>
      </c>
    </row>
    <row r="3516">
      <c r="A3516" s="84" t="inlineStr">
        <is>
          <t xml:space="preserve">        "title": "I Only Shopped the Perimeter for a Week",</t>
        </is>
      </c>
    </row>
    <row r="3517">
      <c r="A3517" s="84" t="inlineStr">
        <is>
          <t xml:space="preserve">        "daysAgo": 4,</t>
        </is>
      </c>
    </row>
    <row r="3518">
      <c r="A3518" s="84" t="inlineStr">
        <is>
          <t xml:space="preserve">        "views": 25000,</t>
        </is>
      </c>
    </row>
    <row r="3519">
      <c r="A3519" s="84" t="inlineStr">
        <is>
          <t xml:space="preserve">        "likes": 1660,</t>
        </is>
      </c>
    </row>
    <row r="3520">
      <c r="A3520" s="84" t="inlineStr">
        <is>
          <t xml:space="preserve">        "comments": 185,</t>
        </is>
      </c>
    </row>
    <row r="3521">
      <c r="A3521" s="84" t="inlineStr">
        <is>
          <t xml:space="preserve">        "hadSponsor": false,</t>
        </is>
      </c>
    </row>
    <row r="3522">
      <c r="A3522" s="84" t="inlineStr">
        <is>
          <t xml:space="preserve">        "topicTags": [</t>
        </is>
      </c>
    </row>
    <row r="3523">
      <c r="A3523" s="84" t="inlineStr">
        <is>
          <t xml:space="preserve">          "challenge",</t>
        </is>
      </c>
    </row>
    <row r="3524">
      <c r="A3524" s="84" t="inlineStr">
        <is>
          <t xml:space="preserve">          "grocery",</t>
        </is>
      </c>
    </row>
    <row r="3525">
      <c r="A3525" s="84" t="inlineStr">
        <is>
          <t xml:space="preserve">          "health"</t>
        </is>
      </c>
    </row>
    <row r="3526">
      <c r="A3526" s="84" t="inlineStr">
        <is>
          <t xml:space="preserve">        ]</t>
        </is>
      </c>
    </row>
    <row r="3527">
      <c r="A3527" s="84" t="inlineStr">
        <is>
          <t xml:space="preserve">      },</t>
        </is>
      </c>
    </row>
    <row r="3528">
      <c r="A3528" s="84" t="inlineStr">
        <is>
          <t xml:space="preserve">      {</t>
        </is>
      </c>
    </row>
    <row r="3529">
      <c r="A3529" s="84" t="inlineStr">
        <is>
          <t xml:space="preserve">        "title": "The Coffee Upgrade That Cost Me $12",</t>
        </is>
      </c>
    </row>
    <row r="3530">
      <c r="A3530" s="84" t="inlineStr">
        <is>
          <t xml:space="preserve">        "daysAgo": 17,</t>
        </is>
      </c>
    </row>
    <row r="3531">
      <c r="A3531" s="84" t="inlineStr">
        <is>
          <t xml:space="preserve">        "views": 18000,</t>
        </is>
      </c>
    </row>
    <row r="3532">
      <c r="A3532" s="84" t="inlineStr">
        <is>
          <t xml:space="preserve">        "likes": 1250,</t>
        </is>
      </c>
    </row>
    <row r="3533">
      <c r="A3533" s="84" t="inlineStr">
        <is>
          <t xml:space="preserve">        "comments": 140,</t>
        </is>
      </c>
    </row>
    <row r="3534">
      <c r="A3534" s="84" t="inlineStr">
        <is>
          <t xml:space="preserve">        "hadSponsor": false,</t>
        </is>
      </c>
    </row>
    <row r="3535">
      <c r="A3535" s="84" t="inlineStr">
        <is>
          <t xml:space="preserve">        "topicTags": [</t>
        </is>
      </c>
    </row>
    <row r="3536">
      <c r="A3536" s="84" t="inlineStr">
        <is>
          <t xml:space="preserve">          "coffee",</t>
        </is>
      </c>
    </row>
    <row r="3537">
      <c r="A3537" s="84" t="inlineStr">
        <is>
          <t xml:space="preserve">          "budget",</t>
        </is>
      </c>
    </row>
    <row r="3538">
      <c r="A3538" s="84" t="inlineStr">
        <is>
          <t xml:space="preserve">          "upgrade"</t>
        </is>
      </c>
    </row>
    <row r="3539">
      <c r="A3539" s="84" t="inlineStr">
        <is>
          <t xml:space="preserve">        ]</t>
        </is>
      </c>
    </row>
    <row r="3540">
      <c r="A3540" s="84" t="inlineStr">
        <is>
          <t xml:space="preserve">      },</t>
        </is>
      </c>
    </row>
    <row r="3541">
      <c r="A3541" s="84" t="inlineStr">
        <is>
          <t xml:space="preserve">      {</t>
        </is>
      </c>
    </row>
    <row r="3542">
      <c r="A3542" s="84" t="inlineStr">
        <is>
          <t xml:space="preserve">        "title": "I Ranked 3 Supermarket Olive Oils",</t>
        </is>
      </c>
    </row>
    <row r="3543">
      <c r="A3543" s="84" t="inlineStr">
        <is>
          <t xml:space="preserve">        "daysAgo": 30,</t>
        </is>
      </c>
    </row>
    <row r="3544">
      <c r="A3544" s="84" t="inlineStr">
        <is>
          <t xml:space="preserve">        "views": 21000,</t>
        </is>
      </c>
    </row>
    <row r="3545">
      <c r="A3545" s="84" t="inlineStr">
        <is>
          <t xml:space="preserve">        "likes": 1360,</t>
        </is>
      </c>
    </row>
    <row r="3546">
      <c r="A3546" s="84" t="inlineStr">
        <is>
          <t xml:space="preserve">        "comments": 150,</t>
        </is>
      </c>
    </row>
    <row r="3547">
      <c r="A3547" s="84" t="inlineStr">
        <is>
          <t xml:space="preserve">        "hadSponsor": false,</t>
        </is>
      </c>
    </row>
    <row r="3548">
      <c r="A3548" s="84" t="inlineStr">
        <is>
          <t xml:space="preserve">        "topicTags": [</t>
        </is>
      </c>
    </row>
    <row r="3549">
      <c r="A3549" s="84" t="inlineStr">
        <is>
          <t xml:space="preserve">          "comparison",</t>
        </is>
      </c>
    </row>
    <row r="3550">
      <c r="A3550" s="84" t="inlineStr">
        <is>
          <t xml:space="preserve">          "grocery",</t>
        </is>
      </c>
    </row>
    <row r="3551">
      <c r="A3551" s="84" t="inlineStr">
        <is>
          <t xml:space="preserve">          "taste-test"</t>
        </is>
      </c>
    </row>
    <row r="3552">
      <c r="A3552" s="84" t="inlineStr">
        <is>
          <t xml:space="preserve">        ]</t>
        </is>
      </c>
    </row>
    <row r="3553">
      <c r="A3553" s="84" t="inlineStr">
        <is>
          <t xml:space="preserve">      }</t>
        </is>
      </c>
    </row>
    <row r="3554">
      <c r="A3554" s="84" t="inlineStr">
        <is>
          <t xml:space="preserve">    ]</t>
        </is>
      </c>
    </row>
    <row r="3555">
      <c r="A3555" s="84" t="inlineStr">
        <is>
          <t xml:space="preserve">  },</t>
        </is>
      </c>
    </row>
    <row r="3556">
      <c r="A3556" s="84" t="inlineStr">
        <is>
          <t xml:space="preserve">  {</t>
        </is>
      </c>
    </row>
    <row r="3557">
      <c r="A3557" s="84" t="inlineStr">
        <is>
          <t xml:space="preserve">    "id": "malik-johnson",</t>
        </is>
      </c>
    </row>
    <row r="3558">
      <c r="A3558" s="84" t="inlineStr">
        <is>
          <t xml:space="preserve">    "name": "Malik Johnson",</t>
        </is>
      </c>
    </row>
    <row r="3559">
      <c r="A3559" s="84" t="inlineStr">
        <is>
          <t xml:space="preserve">    "handle": "@malikcooks",</t>
        </is>
      </c>
    </row>
    <row r="3560">
      <c r="A3560" s="84" t="inlineStr">
        <is>
          <t xml:space="preserve">    "category": "Cooking",</t>
        </is>
      </c>
    </row>
    <row r="3561">
      <c r="A3561" s="84" t="inlineStr">
        <is>
          <t xml:space="preserve">    "tier": "Micro",</t>
        </is>
      </c>
    </row>
    <row r="3562">
      <c r="A3562" s="84" t="inlineStr">
        <is>
          <t xml:space="preserve">    "subscribers": 84000,</t>
        </is>
      </c>
    </row>
    <row r="3563">
      <c r="A3563" s="84" t="inlineStr">
        <is>
          <t xml:space="preserve">    "avgViews": 39000,</t>
        </is>
      </c>
    </row>
    <row r="3564">
      <c r="A3564" s="84" t="inlineStr">
        <is>
          <t xml:space="preserve">    "engagementRate": 0.062,</t>
        </is>
      </c>
    </row>
    <row r="3565">
      <c r="A3565" s="84" t="inlineStr">
        <is>
          <t xml:space="preserve">    "channelVerified": true,</t>
        </is>
      </c>
    </row>
    <row r="3566">
      <c r="A3566" s="84" t="inlineStr">
        <is>
          <t xml:space="preserve">    "safetyScore": 92,</t>
        </is>
      </c>
    </row>
    <row r="3567">
      <c r="A3567" s="84" t="inlineStr">
        <is>
          <t xml:space="preserve">    "audienceAge": "18-34",</t>
        </is>
      </c>
    </row>
    <row r="3568">
      <c r="A3568" s="84" t="inlineStr">
        <is>
          <t xml:space="preserve">    "audienceGender": "60% M",</t>
        </is>
      </c>
    </row>
    <row r="3569">
      <c r="A3569" s="84" t="inlineStr">
        <is>
          <t xml:space="preserve">    "topCountry": "US",</t>
        </is>
      </c>
    </row>
    <row r="3570">
      <c r="A3570" s="84" t="inlineStr">
        <is>
          <t xml:space="preserve">    "uploadCadence": "2 / week",</t>
        </is>
      </c>
    </row>
    <row r="3571">
      <c r="A3571" s="84" t="inlineStr">
        <is>
          <t xml:space="preserve">    "avgLengthMin": 13,</t>
        </is>
      </c>
    </row>
    <row r="3572">
      <c r="A3572" s="84" t="inlineStr">
        <is>
          <t xml:space="preserve">    "rates": {</t>
        </is>
      </c>
    </row>
    <row r="3573">
      <c r="A3573" s="84" t="inlineStr">
        <is>
          <t xml:space="preserve">      "integrated": 1430,</t>
        </is>
      </c>
    </row>
    <row r="3574">
      <c r="A3574" s="84" t="inlineStr">
        <is>
          <t xml:space="preserve">      "dedicated": 3040,</t>
        </is>
      </c>
    </row>
    <row r="3575">
      <c r="A3575" s="84" t="inlineStr">
        <is>
          <t xml:space="preserve">      "short": 730</t>
        </is>
      </c>
    </row>
    <row r="3576">
      <c r="A3576" s="84" t="inlineStr">
        <is>
          <t xml:space="preserve">    },</t>
        </is>
      </c>
    </row>
    <row r="3577">
      <c r="A3577" s="84" t="inlineStr">
        <is>
          <t xml:space="preserve">    "avatarInitials": "MJ",</t>
        </is>
      </c>
    </row>
    <row r="3578">
      <c r="A3578" s="84" t="inlineStr">
        <is>
          <t xml:space="preserve">    "avatarColor": "#935116",</t>
        </is>
      </c>
    </row>
    <row r="3579">
      <c r="A3579" s="84" t="inlineStr">
        <is>
          <t xml:space="preserve">    "bio": "One-pan weeknight cooking for people who work late.",</t>
        </is>
      </c>
    </row>
    <row r="3580">
      <c r="A3580" s="84" t="inlineStr">
        <is>
          <t xml:space="preserve">    "languages": [</t>
        </is>
      </c>
    </row>
    <row r="3581">
      <c r="A3581" s="84" t="inlineStr">
        <is>
          <t xml:space="preserve">      "English"</t>
        </is>
      </c>
    </row>
    <row r="3582">
      <c r="A3582" s="84" t="inlineStr">
        <is>
          <t xml:space="preserve">    ],</t>
        </is>
      </c>
    </row>
    <row r="3583">
      <c r="A3583" s="84" t="inlineStr">
        <is>
          <t xml:space="preserve">    "formatsOffered": [</t>
        </is>
      </c>
    </row>
    <row r="3584">
      <c r="A3584" s="84" t="inlineStr">
        <is>
          <t xml:space="preserve">      "Integrated",</t>
        </is>
      </c>
    </row>
    <row r="3585">
      <c r="A3585" s="84" t="inlineStr">
        <is>
          <t xml:space="preserve">      "Dedicated",</t>
        </is>
      </c>
    </row>
    <row r="3586">
      <c r="A3586" s="84" t="inlineStr">
        <is>
          <t xml:space="preserve">      "Short"</t>
        </is>
      </c>
    </row>
    <row r="3587">
      <c r="A3587" s="84" t="inlineStr">
        <is>
          <t xml:space="preserve">    ],</t>
        </is>
      </c>
    </row>
    <row r="3588">
      <c r="A3588" s="84" t="inlineStr">
        <is>
          <t xml:space="preserve">    "turnaroundDays": 10,</t>
        </is>
      </c>
    </row>
    <row r="3589">
      <c r="A3589" s="84" t="inlineStr">
        <is>
          <t xml:space="preserve">    "workedWith": [</t>
        </is>
      </c>
    </row>
    <row r="3590">
      <c r="A3590" s="84" t="inlineStr">
        <is>
          <t xml:space="preserve">      "Cooking",</t>
        </is>
      </c>
    </row>
    <row r="3591">
      <c r="A3591" s="84" t="inlineStr">
        <is>
          <t xml:space="preserve">      "Cookware"</t>
        </is>
      </c>
    </row>
    <row r="3592">
      <c r="A3592" s="84" t="inlineStr">
        <is>
          <t xml:space="preserve">    ],</t>
        </is>
      </c>
    </row>
    <row r="3593">
      <c r="A3593" s="84" t="inlineStr">
        <is>
          <t xml:space="preserve">    "recentVideos": [</t>
        </is>
      </c>
    </row>
    <row r="3594">
      <c r="A3594" s="84" t="inlineStr">
        <is>
          <t xml:space="preserve">      {</t>
        </is>
      </c>
    </row>
    <row r="3595">
      <c r="A3595" s="84" t="inlineStr">
        <is>
          <t xml:space="preserve">        "title": "The Only 5 Tools You Actually Need",</t>
        </is>
      </c>
    </row>
    <row r="3596">
      <c r="A3596" s="84" t="inlineStr">
        <is>
          <t xml:space="preserve">        "daysAgo": 3,</t>
        </is>
      </c>
    </row>
    <row r="3597">
      <c r="A3597" s="84" t="inlineStr">
        <is>
          <t xml:space="preserve">        "views": 49000,</t>
        </is>
      </c>
    </row>
    <row r="3598">
      <c r="A3598" s="84" t="inlineStr">
        <is>
          <t xml:space="preserve">        "likes": 2650,</t>
        </is>
      </c>
    </row>
    <row r="3599">
      <c r="A3599" s="84" t="inlineStr">
        <is>
          <t xml:space="preserve">        "comments": 295,</t>
        </is>
      </c>
    </row>
    <row r="3600">
      <c r="A3600" s="84" t="inlineStr">
        <is>
          <t xml:space="preserve">        "hadSponsor": true,</t>
        </is>
      </c>
    </row>
    <row r="3601">
      <c r="A3601" s="84" t="inlineStr">
        <is>
          <t xml:space="preserve">        "topicTags": [</t>
        </is>
      </c>
    </row>
    <row r="3602">
      <c r="A3602" s="84" t="inlineStr">
        <is>
          <t xml:space="preserve">          "gear",</t>
        </is>
      </c>
    </row>
    <row r="3603">
      <c r="A3603" s="84" t="inlineStr">
        <is>
          <t xml:space="preserve">          "buying-guide",</t>
        </is>
      </c>
    </row>
    <row r="3604">
      <c r="A3604" s="84" t="inlineStr">
        <is>
          <t xml:space="preserve">          "kitchen"</t>
        </is>
      </c>
    </row>
    <row r="3605">
      <c r="A3605" s="84" t="inlineStr">
        <is>
          <t xml:space="preserve">        ]</t>
        </is>
      </c>
    </row>
    <row r="3606">
      <c r="A3606" s="84" t="inlineStr">
        <is>
          <t xml:space="preserve">      },</t>
        </is>
      </c>
    </row>
    <row r="3607">
      <c r="A3607" s="84" t="inlineStr">
        <is>
          <t xml:space="preserve">      {</t>
        </is>
      </c>
    </row>
    <row r="3608">
      <c r="A3608" s="84" t="inlineStr">
        <is>
          <t xml:space="preserve">        "title": "I Cooked One Cookbook for a Week",</t>
        </is>
      </c>
    </row>
    <row r="3609">
      <c r="A3609" s="84" t="inlineStr">
        <is>
          <t xml:space="preserve">        "daysAgo": 14,</t>
        </is>
      </c>
    </row>
    <row r="3610">
      <c r="A3610" s="84" t="inlineStr">
        <is>
          <t xml:space="preserve">        "views": 35000,</t>
        </is>
      </c>
    </row>
    <row r="3611">
      <c r="A3611" s="84" t="inlineStr">
        <is>
          <t xml:space="preserve">        "likes": 1970,</t>
        </is>
      </c>
    </row>
    <row r="3612">
      <c r="A3612" s="84" t="inlineStr">
        <is>
          <t xml:space="preserve">        "comments": 220,</t>
        </is>
      </c>
    </row>
    <row r="3613">
      <c r="A3613" s="84" t="inlineStr">
        <is>
          <t xml:space="preserve">        "hadSponsor": false,</t>
        </is>
      </c>
    </row>
    <row r="3614">
      <c r="A3614" s="84" t="inlineStr">
        <is>
          <t xml:space="preserve">        "topicTags": [</t>
        </is>
      </c>
    </row>
    <row r="3615">
      <c r="A3615" s="84" t="inlineStr">
        <is>
          <t xml:space="preserve">          "challenge",</t>
        </is>
      </c>
    </row>
    <row r="3616">
      <c r="A3616" s="84" t="inlineStr">
        <is>
          <t xml:space="preserve">          "cookbook",</t>
        </is>
      </c>
    </row>
    <row r="3617">
      <c r="A3617" s="84" t="inlineStr">
        <is>
          <t xml:space="preserve">          "recipe"</t>
        </is>
      </c>
    </row>
    <row r="3618">
      <c r="A3618" s="84" t="inlineStr">
        <is>
          <t xml:space="preserve">        ]</t>
        </is>
      </c>
    </row>
    <row r="3619">
      <c r="A3619" s="84" t="inlineStr">
        <is>
          <t xml:space="preserve">      },</t>
        </is>
      </c>
    </row>
    <row r="3620">
      <c r="A3620" s="84" t="inlineStr">
        <is>
          <t xml:space="preserve">      {</t>
        </is>
      </c>
    </row>
    <row r="3621">
      <c r="A3621" s="84" t="inlineStr">
        <is>
          <t xml:space="preserve">        "title": "Fixing the Mistake Everyone Makes With Carnitas",</t>
        </is>
      </c>
    </row>
    <row r="3622">
      <c r="A3622" s="84" t="inlineStr">
        <is>
          <t xml:space="preserve">        "daysAgo": 25,</t>
        </is>
      </c>
    </row>
    <row r="3623">
      <c r="A3623" s="84" t="inlineStr">
        <is>
          <t xml:space="preserve">        "views": 41000,</t>
        </is>
      </c>
    </row>
    <row r="3624">
      <c r="A3624" s="84" t="inlineStr">
        <is>
          <t xml:space="preserve">        "likes": 2390,</t>
        </is>
      </c>
    </row>
    <row r="3625">
      <c r="A3625" s="84" t="inlineStr">
        <is>
          <t xml:space="preserve">        "comments": 265,</t>
        </is>
      </c>
    </row>
    <row r="3626">
      <c r="A3626" s="84" t="inlineStr">
        <is>
          <t xml:space="preserve">        "hadSponsor": true,</t>
        </is>
      </c>
    </row>
    <row r="3627">
      <c r="A3627" s="84" t="inlineStr">
        <is>
          <t xml:space="preserve">        "topicTags": [</t>
        </is>
      </c>
    </row>
    <row r="3628">
      <c r="A3628" s="84" t="inlineStr">
        <is>
          <t xml:space="preserve">          "technique",</t>
        </is>
      </c>
    </row>
    <row r="3629">
      <c r="A3629" s="84" t="inlineStr">
        <is>
          <t xml:space="preserve">          "troubleshooting"</t>
        </is>
      </c>
    </row>
    <row r="3630">
      <c r="A3630" s="84" t="inlineStr">
        <is>
          <t xml:space="preserve">        ]</t>
        </is>
      </c>
    </row>
    <row r="3631">
      <c r="A3631" s="84" t="inlineStr">
        <is>
          <t xml:space="preserve">      }</t>
        </is>
      </c>
    </row>
    <row r="3632">
      <c r="A3632" s="84" t="inlineStr">
        <is>
          <t xml:space="preserve">    ]</t>
        </is>
      </c>
    </row>
    <row r="3633">
      <c r="A3633" s="84" t="inlineStr">
        <is>
          <t xml:space="preserve">  },</t>
        </is>
      </c>
    </row>
    <row r="3634">
      <c r="A3634" s="84" t="inlineStr">
        <is>
          <t xml:space="preserve">  {</t>
        </is>
      </c>
    </row>
    <row r="3635">
      <c r="A3635" s="84" t="inlineStr">
        <is>
          <t xml:space="preserve">    "id": "naomi-lee",</t>
        </is>
      </c>
    </row>
    <row r="3636">
      <c r="A3636" s="84" t="inlineStr">
        <is>
          <t xml:space="preserve">    "name": "Naomi Lee",</t>
        </is>
      </c>
    </row>
    <row r="3637">
      <c r="A3637" s="84" t="inlineStr">
        <is>
          <t xml:space="preserve">    "handle": "@naomiplantskin",</t>
        </is>
      </c>
    </row>
    <row r="3638">
      <c r="A3638" s="84" t="inlineStr">
        <is>
          <t xml:space="preserve">    "category": "Beauty &amp; Skincare",</t>
        </is>
      </c>
    </row>
    <row r="3639">
      <c r="A3639" s="84" t="inlineStr">
        <is>
          <t xml:space="preserve">    "tier": "Mid-tier",</t>
        </is>
      </c>
    </row>
    <row r="3640">
      <c r="A3640" s="84" t="inlineStr">
        <is>
          <t xml:space="preserve">    "subscribers": 399254,</t>
        </is>
      </c>
    </row>
    <row r="3641">
      <c r="A3641" s="84" t="inlineStr">
        <is>
          <t xml:space="preserve">    "avgViews": 156000,</t>
        </is>
      </c>
    </row>
    <row r="3642">
      <c r="A3642" s="84" t="inlineStr">
        <is>
          <t xml:space="preserve">    "engagementRate": 0.05,</t>
        </is>
      </c>
    </row>
    <row r="3643">
      <c r="A3643" s="84" t="inlineStr">
        <is>
          <t xml:space="preserve">    "channelVerified": true,</t>
        </is>
      </c>
    </row>
    <row r="3644">
      <c r="A3644" s="84" t="inlineStr">
        <is>
          <t xml:space="preserve">    "safetyScore": 95,</t>
        </is>
      </c>
    </row>
    <row r="3645">
      <c r="A3645" s="84" t="inlineStr">
        <is>
          <t xml:space="preserve">    "audienceAge": "25-44",</t>
        </is>
      </c>
    </row>
    <row r="3646">
      <c r="A3646" s="84" t="inlineStr">
        <is>
          <t xml:space="preserve">    "audienceGender": "83% F",</t>
        </is>
      </c>
    </row>
    <row r="3647">
      <c r="A3647" s="84" t="inlineStr">
        <is>
          <t xml:space="preserve">    "topCountry": "US",</t>
        </is>
      </c>
    </row>
    <row r="3648">
      <c r="A3648" s="84" t="inlineStr">
        <is>
          <t xml:space="preserve">    "uploadCadence": "1 / week",</t>
        </is>
      </c>
    </row>
    <row r="3649">
      <c r="A3649" s="84" t="inlineStr">
        <is>
          <t xml:space="preserve">    "avgLengthMin": 12,</t>
        </is>
      </c>
    </row>
    <row r="3650">
      <c r="A3650" s="84" t="inlineStr">
        <is>
          <t xml:space="preserve">    "rates": {</t>
        </is>
      </c>
    </row>
    <row r="3651">
      <c r="A3651" s="84" t="inlineStr">
        <is>
          <t xml:space="preserve">      "integrated": 4770,</t>
        </is>
      </c>
    </row>
    <row r="3652">
      <c r="A3652" s="84" t="inlineStr">
        <is>
          <t xml:space="preserve">      "dedicated": 10140,</t>
        </is>
      </c>
    </row>
    <row r="3653">
      <c r="A3653" s="84" t="inlineStr">
        <is>
          <t xml:space="preserve">      "short": 2430</t>
        </is>
      </c>
    </row>
    <row r="3654">
      <c r="A3654" s="84" t="inlineStr">
        <is>
          <t xml:space="preserve">    },</t>
        </is>
      </c>
    </row>
    <row r="3655">
      <c r="A3655" s="84" t="inlineStr">
        <is>
          <t xml:space="preserve">    "avatarInitials": "NL",</t>
        </is>
      </c>
    </row>
    <row r="3656">
      <c r="A3656" s="84" t="inlineStr">
        <is>
          <t xml:space="preserve">    "avatarColor": "#C2407A",</t>
        </is>
      </c>
    </row>
    <row r="3657">
      <c r="A3657" s="84" t="inlineStr">
        <is>
          <t xml:space="preserve">    "bio": "K-beauty routines and the science of why they work.",</t>
        </is>
      </c>
    </row>
    <row r="3658">
      <c r="A3658" s="84" t="inlineStr">
        <is>
          <t xml:space="preserve">    "languages": [</t>
        </is>
      </c>
    </row>
    <row r="3659">
      <c r="A3659" s="84" t="inlineStr">
        <is>
          <t xml:space="preserve">      "English",</t>
        </is>
      </c>
    </row>
    <row r="3660">
      <c r="A3660" s="84" t="inlineStr">
        <is>
          <t xml:space="preserve">      "Korean"</t>
        </is>
      </c>
    </row>
    <row r="3661">
      <c r="A3661" s="84" t="inlineStr">
        <is>
          <t xml:space="preserve">    ],</t>
        </is>
      </c>
    </row>
    <row r="3662">
      <c r="A3662" s="84" t="inlineStr">
        <is>
          <t xml:space="preserve">    "formatsOffered": [</t>
        </is>
      </c>
    </row>
    <row r="3663">
      <c r="A3663" s="84" t="inlineStr">
        <is>
          <t xml:space="preserve">      "Integrated",</t>
        </is>
      </c>
    </row>
    <row r="3664">
      <c r="A3664" s="84" t="inlineStr">
        <is>
          <t xml:space="preserve">      "Dedicated",</t>
        </is>
      </c>
    </row>
    <row r="3665">
      <c r="A3665" s="84" t="inlineStr">
        <is>
          <t xml:space="preserve">      "Short"</t>
        </is>
      </c>
    </row>
    <row r="3666">
      <c r="A3666" s="84" t="inlineStr">
        <is>
          <t xml:space="preserve">    ],</t>
        </is>
      </c>
    </row>
    <row r="3667">
      <c r="A3667" s="84" t="inlineStr">
        <is>
          <t xml:space="preserve">    "turnaroundDays": 14,</t>
        </is>
      </c>
    </row>
    <row r="3668">
      <c r="A3668" s="84" t="inlineStr">
        <is>
          <t xml:space="preserve">    "workedWith": [</t>
        </is>
      </c>
    </row>
    <row r="3669">
      <c r="A3669" s="84" t="inlineStr">
        <is>
          <t xml:space="preserve">      "Beauty &amp; Skincare",</t>
        </is>
      </c>
    </row>
    <row r="3670">
      <c r="A3670" s="84" t="inlineStr">
        <is>
          <t xml:space="preserve">      "Cosmetics"</t>
        </is>
      </c>
    </row>
    <row r="3671">
      <c r="A3671" s="84" t="inlineStr">
        <is>
          <t xml:space="preserve">    ],</t>
        </is>
      </c>
    </row>
    <row r="3672">
      <c r="A3672" s="84" t="inlineStr">
        <is>
          <t xml:space="preserve">    "recentVideos": [</t>
        </is>
      </c>
    </row>
    <row r="3673">
      <c r="A3673" s="84" t="inlineStr">
        <is>
          <t xml:space="preserve">      {</t>
        </is>
      </c>
    </row>
    <row r="3674">
      <c r="A3674" s="84" t="inlineStr">
        <is>
          <t xml:space="preserve">        "title": "Fixing a Damaged Barrier",</t>
        </is>
      </c>
    </row>
    <row r="3675">
      <c r="A3675" s="84" t="inlineStr">
        <is>
          <t xml:space="preserve">        "daysAgo": 6,</t>
        </is>
      </c>
    </row>
    <row r="3676">
      <c r="A3676" s="84" t="inlineStr">
        <is>
          <t xml:space="preserve">        "views": 195000,</t>
        </is>
      </c>
    </row>
    <row r="3677">
      <c r="A3677" s="84" t="inlineStr">
        <is>
          <t xml:space="preserve">        "likes": 9220,</t>
        </is>
      </c>
    </row>
    <row r="3678">
      <c r="A3678" s="84" t="inlineStr">
        <is>
          <t xml:space="preserve">        "comments": 1025,</t>
        </is>
      </c>
    </row>
    <row r="3679">
      <c r="A3679" s="84" t="inlineStr">
        <is>
          <t xml:space="preserve">        "hadSponsor": false,</t>
        </is>
      </c>
    </row>
    <row r="3680">
      <c r="A3680" s="84" t="inlineStr">
        <is>
          <t xml:space="preserve">        "topicTags": [</t>
        </is>
      </c>
    </row>
    <row r="3681">
      <c r="A3681" s="84" t="inlineStr">
        <is>
          <t xml:space="preserve">          "barrier",</t>
        </is>
      </c>
    </row>
    <row r="3682">
      <c r="A3682" s="84" t="inlineStr">
        <is>
          <t xml:space="preserve">          "skincare",</t>
        </is>
      </c>
    </row>
    <row r="3683">
      <c r="A3683" s="84" t="inlineStr">
        <is>
          <t xml:space="preserve">          "how-to"</t>
        </is>
      </c>
    </row>
    <row r="3684">
      <c r="A3684" s="84" t="inlineStr">
        <is>
          <t xml:space="preserve">        ]</t>
        </is>
      </c>
    </row>
    <row r="3685">
      <c r="A3685" s="84" t="inlineStr">
        <is>
          <t xml:space="preserve">      },</t>
        </is>
      </c>
    </row>
    <row r="3686">
      <c r="A3686" s="84" t="inlineStr">
        <is>
          <t xml:space="preserve">      {</t>
        </is>
      </c>
    </row>
    <row r="3687">
      <c r="A3687" s="84" t="inlineStr">
        <is>
          <t xml:space="preserve">        "title": "SPF I'll Actually Reapply",</t>
        </is>
      </c>
    </row>
    <row r="3688">
      <c r="A3688" s="84" t="inlineStr">
        <is>
          <t xml:space="preserve">        "daysAgo": 14,</t>
        </is>
      </c>
    </row>
    <row r="3689">
      <c r="A3689" s="84" t="inlineStr">
        <is>
          <t xml:space="preserve">        "views": 140000,</t>
        </is>
      </c>
    </row>
    <row r="3690">
      <c r="A3690" s="84" t="inlineStr">
        <is>
          <t xml:space="preserve">        "likes": 6030,</t>
        </is>
      </c>
    </row>
    <row r="3691">
      <c r="A3691" s="84" t="inlineStr">
        <is>
          <t xml:space="preserve">        "comments": 670,</t>
        </is>
      </c>
    </row>
    <row r="3692">
      <c r="A3692" s="84" t="inlineStr">
        <is>
          <t xml:space="preserve">        "hadSponsor": false,</t>
        </is>
      </c>
    </row>
    <row r="3693">
      <c r="A3693" s="84" t="inlineStr">
        <is>
          <t xml:space="preserve">        "topicTags": [</t>
        </is>
      </c>
    </row>
    <row r="3694">
      <c r="A3694" s="84" t="inlineStr">
        <is>
          <t xml:space="preserve">          "spf",</t>
        </is>
      </c>
    </row>
    <row r="3695">
      <c r="A3695" s="84" t="inlineStr">
        <is>
          <t xml:space="preserve">          "skincare",</t>
        </is>
      </c>
    </row>
    <row r="3696">
      <c r="A3696" s="84" t="inlineStr">
        <is>
          <t xml:space="preserve">          "buying-guide"</t>
        </is>
      </c>
    </row>
    <row r="3697">
      <c r="A3697" s="84" t="inlineStr">
        <is>
          <t xml:space="preserve">        ]</t>
        </is>
      </c>
    </row>
    <row r="3698">
      <c r="A3698" s="84" t="inlineStr">
        <is>
          <t xml:space="preserve">      },</t>
        </is>
      </c>
    </row>
    <row r="3699">
      <c r="A3699" s="84" t="inlineStr">
        <is>
          <t xml:space="preserve">      {</t>
        </is>
      </c>
    </row>
    <row r="3700">
      <c r="A3700" s="84" t="inlineStr">
        <is>
          <t xml:space="preserve">        "title": "What I Cut From My Routine",</t>
        </is>
      </c>
    </row>
    <row r="3701">
      <c r="A3701" s="84" t="inlineStr">
        <is>
          <t xml:space="preserve">        "daysAgo": 23,</t>
        </is>
      </c>
    </row>
    <row r="3702">
      <c r="A3702" s="84" t="inlineStr">
        <is>
          <t xml:space="preserve">        "views": 164000,</t>
        </is>
      </c>
    </row>
    <row r="3703">
      <c r="A3703" s="84" t="inlineStr">
        <is>
          <t xml:space="preserve">        "likes": 7140,</t>
        </is>
      </c>
    </row>
    <row r="3704">
      <c r="A3704" s="84" t="inlineStr">
        <is>
          <t xml:space="preserve">        "comments": 795,</t>
        </is>
      </c>
    </row>
    <row r="3705">
      <c r="A3705" s="84" t="inlineStr">
        <is>
          <t xml:space="preserve">        "hadSponsor": true,</t>
        </is>
      </c>
    </row>
    <row r="3706">
      <c r="A3706" s="84" t="inlineStr">
        <is>
          <t xml:space="preserve">        "topicTags": [</t>
        </is>
      </c>
    </row>
    <row r="3707">
      <c r="A3707" s="84" t="inlineStr">
        <is>
          <t xml:space="preserve">          "routine",</t>
        </is>
      </c>
    </row>
    <row r="3708">
      <c r="A3708" s="84" t="inlineStr">
        <is>
          <t xml:space="preserve">          "minimalist",</t>
        </is>
      </c>
    </row>
    <row r="3709">
      <c r="A3709" s="84" t="inlineStr">
        <is>
          <t xml:space="preserve">          "skincare"</t>
        </is>
      </c>
    </row>
    <row r="3710">
      <c r="A3710" s="84" t="inlineStr">
        <is>
          <t xml:space="preserve">        ]</t>
        </is>
      </c>
    </row>
    <row r="3711">
      <c r="A3711" s="84" t="inlineStr">
        <is>
          <t xml:space="preserve">      }</t>
        </is>
      </c>
    </row>
    <row r="3712">
      <c r="A3712" s="84" t="inlineStr">
        <is>
          <t xml:space="preserve">    ]</t>
        </is>
      </c>
    </row>
    <row r="3713">
      <c r="A3713" s="84" t="inlineStr">
        <is>
          <t xml:space="preserve">  },</t>
        </is>
      </c>
    </row>
    <row r="3714">
      <c r="A3714" s="84" t="inlineStr">
        <is>
          <t xml:space="preserve">  {</t>
        </is>
      </c>
    </row>
    <row r="3715">
      <c r="A3715" s="84" t="inlineStr">
        <is>
          <t xml:space="preserve">    "id": "ethan-brooks",</t>
        </is>
      </c>
    </row>
    <row r="3716">
      <c r="A3716" s="84" t="inlineStr">
        <is>
          <t xml:space="preserve">    "name": "Ethan Brooks",</t>
        </is>
      </c>
    </row>
    <row r="3717">
      <c r="A3717" s="84" t="inlineStr">
        <is>
          <t xml:space="preserve">    "handle": "@ethanoutdoors",</t>
        </is>
      </c>
    </row>
    <row r="3718">
      <c r="A3718" s="84" t="inlineStr">
        <is>
          <t xml:space="preserve">    "category": "Outdoor &amp; Gear",</t>
        </is>
      </c>
    </row>
    <row r="3719">
      <c r="A3719" s="84" t="inlineStr">
        <is>
          <t xml:space="preserve">    "tier": "Mid-tier",</t>
        </is>
      </c>
    </row>
    <row r="3720">
      <c r="A3720" s="84" t="inlineStr">
        <is>
          <t xml:space="preserve">    "subscribers": 209248,</t>
        </is>
      </c>
    </row>
    <row r="3721">
      <c r="A3721" s="84" t="inlineStr">
        <is>
          <t xml:space="preserve">    "avgViews": 88000,</t>
        </is>
      </c>
    </row>
    <row r="3722">
      <c r="A3722" s="84" t="inlineStr">
        <is>
          <t xml:space="preserve">    "engagementRate": 0.047,</t>
        </is>
      </c>
    </row>
    <row r="3723">
      <c r="A3723" s="84" t="inlineStr">
        <is>
          <t xml:space="preserve">    "channelVerified": true,</t>
        </is>
      </c>
    </row>
    <row r="3724">
      <c r="A3724" s="84" t="inlineStr">
        <is>
          <t xml:space="preserve">    "safetyScore": 93,</t>
        </is>
      </c>
    </row>
    <row r="3725">
      <c r="A3725" s="84" t="inlineStr">
        <is>
          <t xml:space="preserve">    "audienceAge": "25-44",</t>
        </is>
      </c>
    </row>
    <row r="3726">
      <c r="A3726" s="84" t="inlineStr">
        <is>
          <t xml:space="preserve">    "audienceGender": "68% M",</t>
        </is>
      </c>
    </row>
    <row r="3727">
      <c r="A3727" s="84" t="inlineStr">
        <is>
          <t xml:space="preserve">    "topCountry": "US",</t>
        </is>
      </c>
    </row>
    <row r="3728">
      <c r="A3728" s="84" t="inlineStr">
        <is>
          <t xml:space="preserve">    "uploadCadence": "1 / week",</t>
        </is>
      </c>
    </row>
    <row r="3729">
      <c r="A3729" s="84" t="inlineStr">
        <is>
          <t xml:space="preserve">    "avgLengthMin": 19,</t>
        </is>
      </c>
    </row>
    <row r="3730">
      <c r="A3730" s="84" t="inlineStr">
        <is>
          <t xml:space="preserve">    "rates": {</t>
        </is>
      </c>
    </row>
    <row r="3731">
      <c r="A3731" s="84" t="inlineStr">
        <is>
          <t xml:space="preserve">      "integrated": 2690,</t>
        </is>
      </c>
    </row>
    <row r="3732">
      <c r="A3732" s="84" t="inlineStr">
        <is>
          <t xml:space="preserve">      "dedicated": 5720,</t>
        </is>
      </c>
    </row>
    <row r="3733">
      <c r="A3733" s="84" t="inlineStr">
        <is>
          <t xml:space="preserve">      "short": 1370</t>
        </is>
      </c>
    </row>
    <row r="3734">
      <c r="A3734" s="84" t="inlineStr">
        <is>
          <t xml:space="preserve">    },</t>
        </is>
      </c>
    </row>
    <row r="3735">
      <c r="A3735" s="84" t="inlineStr">
        <is>
          <t xml:space="preserve">    "avatarInitials": "EB",</t>
        </is>
      </c>
    </row>
    <row r="3736">
      <c r="A3736" s="84" t="inlineStr">
        <is>
          <t xml:space="preserve">    "avatarColor": "#1A5276",</t>
        </is>
      </c>
    </row>
    <row r="3737">
      <c r="A3737" s="84" t="inlineStr">
        <is>
          <t xml:space="preserve">    "bio": "Overlanding and truck-camping builds for long trips.",</t>
        </is>
      </c>
    </row>
    <row r="3738">
      <c r="A3738" s="84" t="inlineStr">
        <is>
          <t xml:space="preserve">    "languages": [</t>
        </is>
      </c>
    </row>
    <row r="3739">
      <c r="A3739" s="84" t="inlineStr">
        <is>
          <t xml:space="preserve">      "English"</t>
        </is>
      </c>
    </row>
    <row r="3740">
      <c r="A3740" s="84" t="inlineStr">
        <is>
          <t xml:space="preserve">    ],</t>
        </is>
      </c>
    </row>
    <row r="3741">
      <c r="A3741" s="84" t="inlineStr">
        <is>
          <t xml:space="preserve">    "formatsOffered": [</t>
        </is>
      </c>
    </row>
    <row r="3742">
      <c r="A3742" s="84" t="inlineStr">
        <is>
          <t xml:space="preserve">      "Integrated",</t>
        </is>
      </c>
    </row>
    <row r="3743">
      <c r="A3743" s="84" t="inlineStr">
        <is>
          <t xml:space="preserve">      "Dedicated",</t>
        </is>
      </c>
    </row>
    <row r="3744">
      <c r="A3744" s="84" t="inlineStr">
        <is>
          <t xml:space="preserve">      "Short"</t>
        </is>
      </c>
    </row>
    <row r="3745">
      <c r="A3745" s="84" t="inlineStr">
        <is>
          <t xml:space="preserve">    ],</t>
        </is>
      </c>
    </row>
    <row r="3746">
      <c r="A3746" s="84" t="inlineStr">
        <is>
          <t xml:space="preserve">    "turnaroundDays": 21,</t>
        </is>
      </c>
    </row>
    <row r="3747">
      <c r="A3747" s="84" t="inlineStr">
        <is>
          <t xml:space="preserve">    "workedWith": [</t>
        </is>
      </c>
    </row>
    <row r="3748">
      <c r="A3748" s="84" t="inlineStr">
        <is>
          <t xml:space="preserve">      "Outdoor Gear",</t>
        </is>
      </c>
    </row>
    <row r="3749">
      <c r="A3749" s="84" t="inlineStr">
        <is>
          <t xml:space="preserve">      "Automotive"</t>
        </is>
      </c>
    </row>
    <row r="3750">
      <c r="A3750" s="84" t="inlineStr">
        <is>
          <t xml:space="preserve">    ],</t>
        </is>
      </c>
    </row>
    <row r="3751">
      <c r="A3751" s="84" t="inlineStr">
        <is>
          <t xml:space="preserve">    "recentVideos": [</t>
        </is>
      </c>
    </row>
    <row r="3752">
      <c r="A3752" s="84" t="inlineStr">
        <is>
          <t xml:space="preserve">      {</t>
        </is>
      </c>
    </row>
    <row r="3753">
      <c r="A3753" s="84" t="inlineStr">
        <is>
          <t xml:space="preserve">        "title": "Packing for a Cold-Weather Trip",</t>
        </is>
      </c>
    </row>
    <row r="3754">
      <c r="A3754" s="84" t="inlineStr">
        <is>
          <t xml:space="preserve">        "daysAgo": 7,</t>
        </is>
      </c>
    </row>
    <row r="3755">
      <c r="A3755" s="84" t="inlineStr">
        <is>
          <t xml:space="preserve">        "views": 110000,</t>
        </is>
      </c>
    </row>
    <row r="3756">
      <c r="A3756" s="84" t="inlineStr">
        <is>
          <t xml:space="preserve">        "likes": 4920,</t>
        </is>
      </c>
    </row>
    <row r="3757">
      <c r="A3757" s="84" t="inlineStr">
        <is>
          <t xml:space="preserve">        "comments": 545,</t>
        </is>
      </c>
    </row>
    <row r="3758">
      <c r="A3758" s="84" t="inlineStr">
        <is>
          <t xml:space="preserve">        "hadSponsor": false,</t>
        </is>
      </c>
    </row>
    <row r="3759">
      <c r="A3759" s="84" t="inlineStr">
        <is>
          <t xml:space="preserve">        "topicTags": [</t>
        </is>
      </c>
    </row>
    <row r="3760">
      <c r="A3760" s="84" t="inlineStr">
        <is>
          <t xml:space="preserve">          "gear",</t>
        </is>
      </c>
    </row>
    <row r="3761">
      <c r="A3761" s="84" t="inlineStr">
        <is>
          <t xml:space="preserve">          "cold-weather",</t>
        </is>
      </c>
    </row>
    <row r="3762">
      <c r="A3762" s="84" t="inlineStr">
        <is>
          <t xml:space="preserve">          "setup"</t>
        </is>
      </c>
    </row>
    <row r="3763">
      <c r="A3763" s="84" t="inlineStr">
        <is>
          <t xml:space="preserve">        ]</t>
        </is>
      </c>
    </row>
    <row r="3764">
      <c r="A3764" s="84" t="inlineStr">
        <is>
          <t xml:space="preserve">      },</t>
        </is>
      </c>
    </row>
    <row r="3765">
      <c r="A3765" s="84" t="inlineStr">
        <is>
          <t xml:space="preserve">      {</t>
        </is>
      </c>
    </row>
    <row r="3766">
      <c r="A3766" s="84" t="inlineStr">
        <is>
          <t xml:space="preserve">        "title": "7 Miles on This Tent — Honest Review",</t>
        </is>
      </c>
    </row>
    <row r="3767">
      <c r="A3767" s="84" t="inlineStr">
        <is>
          <t xml:space="preserve">        "daysAgo": 16,</t>
        </is>
      </c>
    </row>
    <row r="3768">
      <c r="A3768" s="84" t="inlineStr">
        <is>
          <t xml:space="preserve">        "views": 79000,</t>
        </is>
      </c>
    </row>
    <row r="3769">
      <c r="A3769" s="84" t="inlineStr">
        <is>
          <t xml:space="preserve">        "likes": 3370,</t>
        </is>
      </c>
    </row>
    <row r="3770">
      <c r="A3770" s="84" t="inlineStr">
        <is>
          <t xml:space="preserve">        "comments": 375,</t>
        </is>
      </c>
    </row>
    <row r="3771">
      <c r="A3771" s="84" t="inlineStr">
        <is>
          <t xml:space="preserve">        "hadSponsor": false,</t>
        </is>
      </c>
    </row>
    <row r="3772">
      <c r="A3772" s="84" t="inlineStr">
        <is>
          <t xml:space="preserve">        "topicTags": [</t>
        </is>
      </c>
    </row>
    <row r="3773">
      <c r="A3773" s="84" t="inlineStr">
        <is>
          <t xml:space="preserve">          "gear",</t>
        </is>
      </c>
    </row>
    <row r="3774">
      <c r="A3774" s="84" t="inlineStr">
        <is>
          <t xml:space="preserve">          "review",</t>
        </is>
      </c>
    </row>
    <row r="3775">
      <c r="A3775" s="84" t="inlineStr">
        <is>
          <t xml:space="preserve">          "long-term"</t>
        </is>
      </c>
    </row>
    <row r="3776">
      <c r="A3776" s="84" t="inlineStr">
        <is>
          <t xml:space="preserve">        ]</t>
        </is>
      </c>
    </row>
    <row r="3777">
      <c r="A3777" s="84" t="inlineStr">
        <is>
          <t xml:space="preserve">      },</t>
        </is>
      </c>
    </row>
    <row r="3778">
      <c r="A3778" s="84" t="inlineStr">
        <is>
          <t xml:space="preserve">      {</t>
        </is>
      </c>
    </row>
    <row r="3779">
      <c r="A3779" s="84" t="inlineStr">
        <is>
          <t xml:space="preserve">        "title": "Ultralight Setup That Actually Works",</t>
        </is>
      </c>
    </row>
    <row r="3780">
      <c r="A3780" s="84" t="inlineStr">
        <is>
          <t xml:space="preserve">        "daysAgo": 28,</t>
        </is>
      </c>
    </row>
    <row r="3781">
      <c r="A3781" s="84" t="inlineStr">
        <is>
          <t xml:space="preserve">        "views": 92000,</t>
        </is>
      </c>
    </row>
    <row r="3782">
      <c r="A3782" s="84" t="inlineStr">
        <is>
          <t xml:space="preserve">        "likes": 4010,</t>
        </is>
      </c>
    </row>
    <row r="3783">
      <c r="A3783" s="84" t="inlineStr">
        <is>
          <t xml:space="preserve">        "comments": 445,</t>
        </is>
      </c>
    </row>
    <row r="3784">
      <c r="A3784" s="84" t="inlineStr">
        <is>
          <t xml:space="preserve">        "hadSponsor": true,</t>
        </is>
      </c>
    </row>
    <row r="3785">
      <c r="A3785" s="84" t="inlineStr">
        <is>
          <t xml:space="preserve">        "topicTags": [</t>
        </is>
      </c>
    </row>
    <row r="3786">
      <c r="A3786" s="84" t="inlineStr">
        <is>
          <t xml:space="preserve">          "ultralight",</t>
        </is>
      </c>
    </row>
    <row r="3787">
      <c r="A3787" s="84" t="inlineStr">
        <is>
          <t xml:space="preserve">          "gear",</t>
        </is>
      </c>
    </row>
    <row r="3788">
      <c r="A3788" s="84" t="inlineStr">
        <is>
          <t xml:space="preserve">          "backpacking"</t>
        </is>
      </c>
    </row>
    <row r="3789">
      <c r="A3789" s="84" t="inlineStr">
        <is>
          <t xml:space="preserve">        ]</t>
        </is>
      </c>
    </row>
    <row r="3790">
      <c r="A3790" s="84" t="inlineStr">
        <is>
          <t xml:space="preserve">      }</t>
        </is>
      </c>
    </row>
    <row r="3791">
      <c r="A3791" s="84" t="inlineStr">
        <is>
          <t xml:space="preserve">    ]</t>
        </is>
      </c>
    </row>
    <row r="3792">
      <c r="A3792" s="84" t="inlineStr">
        <is>
          <t xml:space="preserve">  },</t>
        </is>
      </c>
    </row>
    <row r="3793">
      <c r="A3793" s="84" t="inlineStr">
        <is>
          <t xml:space="preserve">  {</t>
        </is>
      </c>
    </row>
    <row r="3794">
      <c r="A3794" s="84" t="inlineStr">
        <is>
          <t xml:space="preserve">    "id": "rosa-mendez",</t>
        </is>
      </c>
    </row>
    <row r="3795">
      <c r="A3795" s="84" t="inlineStr">
        <is>
          <t xml:space="preserve">    "name": "Rosa Mendez",</t>
        </is>
      </c>
    </row>
    <row r="3796">
      <c r="A3796" s="84" t="inlineStr">
        <is>
          <t xml:space="preserve">    "handle": "@rosafamilia",</t>
        </is>
      </c>
    </row>
    <row r="3797">
      <c r="A3797" s="84" t="inlineStr">
        <is>
          <t xml:space="preserve">    "category": "Parenting &amp; Family",</t>
        </is>
      </c>
    </row>
    <row r="3798">
      <c r="A3798" s="84" t="inlineStr">
        <is>
          <t xml:space="preserve">    "tier": "Micro",</t>
        </is>
      </c>
    </row>
    <row r="3799">
      <c r="A3799" s="84" t="inlineStr">
        <is>
          <t xml:space="preserve">    "subscribers": 58000,</t>
        </is>
      </c>
    </row>
    <row r="3800">
      <c r="A3800" s="84" t="inlineStr">
        <is>
          <t xml:space="preserve">    "avgViews": 28000,</t>
        </is>
      </c>
    </row>
    <row r="3801">
      <c r="A3801" s="84" t="inlineStr">
        <is>
          <t xml:space="preserve">    "engagementRate": 0.07,</t>
        </is>
      </c>
    </row>
    <row r="3802">
      <c r="A3802" s="84" t="inlineStr">
        <is>
          <t xml:space="preserve">    "channelVerified": true,</t>
        </is>
      </c>
    </row>
    <row r="3803">
      <c r="A3803" s="84" t="inlineStr">
        <is>
          <t xml:space="preserve">    "safetyScore": 97,</t>
        </is>
      </c>
    </row>
    <row r="3804">
      <c r="A3804" s="84" t="inlineStr">
        <is>
          <t xml:space="preserve">    "audienceAge": "30-44",</t>
        </is>
      </c>
    </row>
    <row r="3805">
      <c r="A3805" s="84" t="inlineStr">
        <is>
          <t xml:space="preserve">    "audienceGender": "79% F",</t>
        </is>
      </c>
    </row>
    <row r="3806">
      <c r="A3806" s="84" t="inlineStr">
        <is>
          <t xml:space="preserve">    "topCountry": "US",</t>
        </is>
      </c>
    </row>
    <row r="3807">
      <c r="A3807" s="84" t="inlineStr">
        <is>
          <t xml:space="preserve">    "uploadCadence": "2 / week",</t>
        </is>
      </c>
    </row>
    <row r="3808">
      <c r="A3808" s="84" t="inlineStr">
        <is>
          <t xml:space="preserve">    "avgLengthMin": 11,</t>
        </is>
      </c>
    </row>
    <row r="3809">
      <c r="A3809" s="84" t="inlineStr">
        <is>
          <t xml:space="preserve">    "rates": {</t>
        </is>
      </c>
    </row>
    <row r="3810">
      <c r="A3810" s="84" t="inlineStr">
        <is>
          <t xml:space="preserve">      "integrated": 1020,</t>
        </is>
      </c>
    </row>
    <row r="3811">
      <c r="A3811" s="84" t="inlineStr">
        <is>
          <t xml:space="preserve">      "dedicated": 2180,</t>
        </is>
      </c>
    </row>
    <row r="3812">
      <c r="A3812" s="84" t="inlineStr">
        <is>
          <t xml:space="preserve">      "short": 520</t>
        </is>
      </c>
    </row>
    <row r="3813">
      <c r="A3813" s="84" t="inlineStr">
        <is>
          <t xml:space="preserve">    },</t>
        </is>
      </c>
    </row>
    <row r="3814">
      <c r="A3814" s="84" t="inlineStr">
        <is>
          <t xml:space="preserve">    "avatarInitials": "RM",</t>
        </is>
      </c>
    </row>
    <row r="3815">
      <c r="A3815" s="84" t="inlineStr">
        <is>
          <t xml:space="preserve">    "avatarColor": "#CB4335",</t>
        </is>
      </c>
    </row>
    <row r="3816">
      <c r="A3816" s="84" t="inlineStr">
        <is>
          <t xml:space="preserve">    "bio": "Bilingual parenting and big-batch family cooking.",</t>
        </is>
      </c>
    </row>
    <row r="3817">
      <c r="A3817" s="84" t="inlineStr">
        <is>
          <t xml:space="preserve">    "languages": [</t>
        </is>
      </c>
    </row>
    <row r="3818">
      <c r="A3818" s="84" t="inlineStr">
        <is>
          <t xml:space="preserve">      "English",</t>
        </is>
      </c>
    </row>
    <row r="3819">
      <c r="A3819" s="84" t="inlineStr">
        <is>
          <t xml:space="preserve">      "Spanish"</t>
        </is>
      </c>
    </row>
    <row r="3820">
      <c r="A3820" s="84" t="inlineStr">
        <is>
          <t xml:space="preserve">    ],</t>
        </is>
      </c>
    </row>
    <row r="3821">
      <c r="A3821" s="84" t="inlineStr">
        <is>
          <t xml:space="preserve">    "formatsOffered": [</t>
        </is>
      </c>
    </row>
    <row r="3822">
      <c r="A3822" s="84" t="inlineStr">
        <is>
          <t xml:space="preserve">      "Integrated",</t>
        </is>
      </c>
    </row>
    <row r="3823">
      <c r="A3823" s="84" t="inlineStr">
        <is>
          <t xml:space="preserve">      "Dedicated",</t>
        </is>
      </c>
    </row>
    <row r="3824">
      <c r="A3824" s="84" t="inlineStr">
        <is>
          <t xml:space="preserve">      "Short"</t>
        </is>
      </c>
    </row>
    <row r="3825">
      <c r="A3825" s="84" t="inlineStr">
        <is>
          <t xml:space="preserve">    ],</t>
        </is>
      </c>
    </row>
    <row r="3826">
      <c r="A3826" s="84" t="inlineStr">
        <is>
          <t xml:space="preserve">    "turnaroundDays": 10,</t>
        </is>
      </c>
    </row>
    <row r="3827">
      <c r="A3827" s="84" t="inlineStr">
        <is>
          <t xml:space="preserve">    "workedWith": [</t>
        </is>
      </c>
    </row>
    <row r="3828">
      <c r="A3828" s="84" t="inlineStr">
        <is>
          <t xml:space="preserve">      "Parenting &amp; Family",</t>
        </is>
      </c>
    </row>
    <row r="3829">
      <c r="A3829" s="84" t="inlineStr">
        <is>
          <t xml:space="preserve">      "Grocery"</t>
        </is>
      </c>
    </row>
    <row r="3830">
      <c r="A3830" s="84" t="inlineStr">
        <is>
          <t xml:space="preserve">    ],</t>
        </is>
      </c>
    </row>
    <row r="3831">
      <c r="A3831" s="84" t="inlineStr">
        <is>
          <t xml:space="preserve">    "recentVideos": [</t>
        </is>
      </c>
    </row>
    <row r="3832">
      <c r="A3832" s="84" t="inlineStr">
        <is>
          <t xml:space="preserve">      {</t>
        </is>
      </c>
    </row>
    <row r="3833">
      <c r="A3833" s="84" t="inlineStr">
        <is>
          <t xml:space="preserve">        "title": "The Toddler Snack Rotation That Works",</t>
        </is>
      </c>
    </row>
    <row r="3834">
      <c r="A3834" s="84" t="inlineStr">
        <is>
          <t xml:space="preserve">        "daysAgo": 3,</t>
        </is>
      </c>
    </row>
    <row r="3835">
      <c r="A3835" s="84" t="inlineStr">
        <is>
          <t xml:space="preserve">        "views": 35000,</t>
        </is>
      </c>
    </row>
    <row r="3836">
      <c r="A3836" s="84" t="inlineStr">
        <is>
          <t xml:space="preserve">        "likes": 2190,</t>
        </is>
      </c>
    </row>
    <row r="3837">
      <c r="A3837" s="84" t="inlineStr">
        <is>
          <t xml:space="preserve">        "comments": 245,</t>
        </is>
      </c>
    </row>
    <row r="3838">
      <c r="A3838" s="84" t="inlineStr">
        <is>
          <t xml:space="preserve">        "hadSponsor": false,</t>
        </is>
      </c>
    </row>
    <row r="3839">
      <c r="A3839" s="84" t="inlineStr">
        <is>
          <t xml:space="preserve">        "topicTags": [</t>
        </is>
      </c>
    </row>
    <row r="3840">
      <c r="A3840" s="84" t="inlineStr">
        <is>
          <t xml:space="preserve">          "snacks",</t>
        </is>
      </c>
    </row>
    <row r="3841">
      <c r="A3841" s="84" t="inlineStr">
        <is>
          <t xml:space="preserve">          "food",</t>
        </is>
      </c>
    </row>
    <row r="3842">
      <c r="A3842" s="84" t="inlineStr">
        <is>
          <t xml:space="preserve">          "family"</t>
        </is>
      </c>
    </row>
    <row r="3843">
      <c r="A3843" s="84" t="inlineStr">
        <is>
          <t xml:space="preserve">        ]</t>
        </is>
      </c>
    </row>
    <row r="3844">
      <c r="A3844" s="84" t="inlineStr">
        <is>
          <t xml:space="preserve">      },</t>
        </is>
      </c>
    </row>
    <row r="3845">
      <c r="A3845" s="84" t="inlineStr">
        <is>
          <t xml:space="preserve">      {</t>
        </is>
      </c>
    </row>
    <row r="3846">
      <c r="A3846" s="84" t="inlineStr">
        <is>
          <t xml:space="preserve">        "title": "Screen-Time Rules We Actually Keep",</t>
        </is>
      </c>
    </row>
    <row r="3847">
      <c r="A3847" s="84" t="inlineStr">
        <is>
          <t xml:space="preserve">        "daysAgo": 15,</t>
        </is>
      </c>
    </row>
    <row r="3848">
      <c r="A3848" s="84" t="inlineStr">
        <is>
          <t xml:space="preserve">        "views": 25000,</t>
        </is>
      </c>
    </row>
    <row r="3849">
      <c r="A3849" s="84" t="inlineStr">
        <is>
          <t xml:space="preserve">        "likes": 1540,</t>
        </is>
      </c>
    </row>
    <row r="3850">
      <c r="A3850" s="84" t="inlineStr">
        <is>
          <t xml:space="preserve">        "comments": 170,</t>
        </is>
      </c>
    </row>
    <row r="3851">
      <c r="A3851" s="84" t="inlineStr">
        <is>
          <t xml:space="preserve">        "hadSponsor": false,</t>
        </is>
      </c>
    </row>
    <row r="3852">
      <c r="A3852" s="84" t="inlineStr">
        <is>
          <t xml:space="preserve">        "topicTags": [</t>
        </is>
      </c>
    </row>
    <row r="3853">
      <c r="A3853" s="84" t="inlineStr">
        <is>
          <t xml:space="preserve">          "routine",</t>
        </is>
      </c>
    </row>
    <row r="3854">
      <c r="A3854" s="84" t="inlineStr">
        <is>
          <t xml:space="preserve">          "screen-time",</t>
        </is>
      </c>
    </row>
    <row r="3855">
      <c r="A3855" s="84" t="inlineStr">
        <is>
          <t xml:space="preserve">          "honest"</t>
        </is>
      </c>
    </row>
    <row r="3856">
      <c r="A3856" s="84" t="inlineStr">
        <is>
          <t xml:space="preserve">        ]</t>
        </is>
      </c>
    </row>
    <row r="3857">
      <c r="A3857" s="84" t="inlineStr">
        <is>
          <t xml:space="preserve">      },</t>
        </is>
      </c>
    </row>
    <row r="3858">
      <c r="A3858" s="84" t="inlineStr">
        <is>
          <t xml:space="preserve">      {</t>
        </is>
      </c>
    </row>
    <row r="3859">
      <c r="A3859" s="84" t="inlineStr">
        <is>
          <t xml:space="preserve">        "title": "Big-Batch Cooking for a Busy Week",</t>
        </is>
      </c>
    </row>
    <row r="3860">
      <c r="A3860" s="84" t="inlineStr">
        <is>
          <t xml:space="preserve">        "daysAgo": 24,</t>
        </is>
      </c>
    </row>
    <row r="3861">
      <c r="A3861" s="84" t="inlineStr">
        <is>
          <t xml:space="preserve">        "views": 29000,</t>
        </is>
      </c>
    </row>
    <row r="3862">
      <c r="A3862" s="84" t="inlineStr">
        <is>
          <t xml:space="preserve">        "likes": 1830,</t>
        </is>
      </c>
    </row>
    <row r="3863">
      <c r="A3863" s="84" t="inlineStr">
        <is>
          <t xml:space="preserve">        "comments": 205,</t>
        </is>
      </c>
    </row>
    <row r="3864">
      <c r="A3864" s="84" t="inlineStr">
        <is>
          <t xml:space="preserve">        "hadSponsor": true,</t>
        </is>
      </c>
    </row>
    <row r="3865">
      <c r="A3865" s="84" t="inlineStr">
        <is>
          <t xml:space="preserve">        "topicTags": [</t>
        </is>
      </c>
    </row>
    <row r="3866">
      <c r="A3866" s="84" t="inlineStr">
        <is>
          <t xml:space="preserve">          "meal-prep",</t>
        </is>
      </c>
    </row>
    <row r="3867">
      <c r="A3867" s="84" t="inlineStr">
        <is>
          <t xml:space="preserve">          "family",</t>
        </is>
      </c>
    </row>
    <row r="3868">
      <c r="A3868" s="84" t="inlineStr">
        <is>
          <t xml:space="preserve">          "budget"</t>
        </is>
      </c>
    </row>
    <row r="3869">
      <c r="A3869" s="84" t="inlineStr">
        <is>
          <t xml:space="preserve">        ]</t>
        </is>
      </c>
    </row>
    <row r="3870">
      <c r="A3870" s="84" t="inlineStr">
        <is>
          <t xml:space="preserve">      }</t>
        </is>
      </c>
    </row>
    <row r="3871">
      <c r="A3871" s="84" t="inlineStr">
        <is>
          <t xml:space="preserve">    ]</t>
        </is>
      </c>
    </row>
    <row r="3872">
      <c r="A3872" s="84" t="inlineStr">
        <is>
          <t xml:space="preserve">  },</t>
        </is>
      </c>
    </row>
    <row r="3873">
      <c r="A3873" s="84" t="inlineStr">
        <is>
          <t xml:space="preserve">  {</t>
        </is>
      </c>
    </row>
    <row r="3874">
      <c r="A3874" s="84" t="inlineStr">
        <is>
          <t xml:space="preserve">    "id": "felicity-obi",</t>
        </is>
      </c>
    </row>
    <row r="3875">
      <c r="A3875" s="84" t="inlineStr">
        <is>
          <t xml:space="preserve">    "name": "Felicity Obi",</t>
        </is>
      </c>
    </row>
    <row r="3876">
      <c r="A3876" s="84" t="inlineStr">
        <is>
          <t xml:space="preserve">    "handle": "@felicitythrifts",</t>
        </is>
      </c>
    </row>
    <row r="3877">
      <c r="A3877" s="84" t="inlineStr">
        <is>
          <t xml:space="preserve">    "category": "Fashion &amp; Beauty",</t>
        </is>
      </c>
    </row>
    <row r="3878">
      <c r="A3878" s="84" t="inlineStr">
        <is>
          <t xml:space="preserve">    "tier": "Nano",</t>
        </is>
      </c>
    </row>
    <row r="3879">
      <c r="A3879" s="84" t="inlineStr">
        <is>
          <t xml:space="preserve">    "subscribers": 6900,</t>
        </is>
      </c>
    </row>
    <row r="3880">
      <c r="A3880" s="84" t="inlineStr">
        <is>
          <t xml:space="preserve">    "avgViews": 4000,</t>
        </is>
      </c>
    </row>
    <row r="3881">
      <c r="A3881" s="84" t="inlineStr">
        <is>
          <t xml:space="preserve">    "engagementRate": 0.109,</t>
        </is>
      </c>
    </row>
    <row r="3882">
      <c r="A3882" s="84" t="inlineStr">
        <is>
          <t xml:space="preserve">    "channelVerified": false,</t>
        </is>
      </c>
    </row>
    <row r="3883">
      <c r="A3883" s="84" t="inlineStr">
        <is>
          <t xml:space="preserve">    "safetyScore": 94,</t>
        </is>
      </c>
    </row>
    <row r="3884">
      <c r="A3884" s="84" t="inlineStr">
        <is>
          <t xml:space="preserve">    "audienceAge": "18-34",</t>
        </is>
      </c>
    </row>
    <row r="3885">
      <c r="A3885" s="84" t="inlineStr">
        <is>
          <t xml:space="preserve">    "audienceGender": "88% F",</t>
        </is>
      </c>
    </row>
    <row r="3886">
      <c r="A3886" s="84" t="inlineStr">
        <is>
          <t xml:space="preserve">    "topCountry": "US",</t>
        </is>
      </c>
    </row>
    <row r="3887">
      <c r="A3887" s="84" t="inlineStr">
        <is>
          <t xml:space="preserve">    "uploadCadence": "2 / week",</t>
        </is>
      </c>
    </row>
    <row r="3888">
      <c r="A3888" s="84" t="inlineStr">
        <is>
          <t xml:space="preserve">    "avgLengthMin": 9,</t>
        </is>
      </c>
    </row>
    <row r="3889">
      <c r="A3889" s="84" t="inlineStr">
        <is>
          <t xml:space="preserve">    "rates": {</t>
        </is>
      </c>
    </row>
    <row r="3890">
      <c r="A3890" s="84" t="inlineStr">
        <is>
          <t xml:space="preserve">      "integrated": 190,</t>
        </is>
      </c>
    </row>
    <row r="3891">
      <c r="A3891" s="84" t="inlineStr">
        <is>
          <t xml:space="preserve">      "dedicated": 400,</t>
        </is>
      </c>
    </row>
    <row r="3892">
      <c r="A3892" s="84" t="inlineStr">
        <is>
          <t xml:space="preserve">      "short": 100</t>
        </is>
      </c>
    </row>
    <row r="3893">
      <c r="A3893" s="84" t="inlineStr">
        <is>
          <t xml:space="preserve">    },</t>
        </is>
      </c>
    </row>
    <row r="3894">
      <c r="A3894" s="84" t="inlineStr">
        <is>
          <t xml:space="preserve">    "avatarInitials": "FO",</t>
        </is>
      </c>
    </row>
    <row r="3895">
      <c r="A3895" s="84" t="inlineStr">
        <is>
          <t xml:space="preserve">    "avatarColor": "#A93226",</t>
        </is>
      </c>
    </row>
    <row r="3896">
      <c r="A3896" s="84" t="inlineStr">
        <is>
          <t xml:space="preserve">    "bio": "Thrift hauls and refashioning for a tiny budget.",</t>
        </is>
      </c>
    </row>
    <row r="3897">
      <c r="A3897" s="84" t="inlineStr">
        <is>
          <t xml:space="preserve">    "languages": [</t>
        </is>
      </c>
    </row>
    <row r="3898">
      <c r="A3898" s="84" t="inlineStr">
        <is>
          <t xml:space="preserve">      "English"</t>
        </is>
      </c>
    </row>
    <row r="3899">
      <c r="A3899" s="84" t="inlineStr">
        <is>
          <t xml:space="preserve">    ],</t>
        </is>
      </c>
    </row>
    <row r="3900">
      <c r="A3900" s="84" t="inlineStr">
        <is>
          <t xml:space="preserve">    "formatsOffered": [</t>
        </is>
      </c>
    </row>
    <row r="3901">
      <c r="A3901" s="84" t="inlineStr">
        <is>
          <t xml:space="preserve">      "Integrated",</t>
        </is>
      </c>
    </row>
    <row r="3902">
      <c r="A3902" s="84" t="inlineStr">
        <is>
          <t xml:space="preserve">      "Dedicated",</t>
        </is>
      </c>
    </row>
    <row r="3903">
      <c r="A3903" s="84" t="inlineStr">
        <is>
          <t xml:space="preserve">      "Short"</t>
        </is>
      </c>
    </row>
    <row r="3904">
      <c r="A3904" s="84" t="inlineStr">
        <is>
          <t xml:space="preserve">    ],</t>
        </is>
      </c>
    </row>
    <row r="3905">
      <c r="A3905" s="84" t="inlineStr">
        <is>
          <t xml:space="preserve">    "turnaroundDays": 8,</t>
        </is>
      </c>
    </row>
    <row r="3906">
      <c r="A3906" s="84" t="inlineStr">
        <is>
          <t xml:space="preserve">    "workedWith": [</t>
        </is>
      </c>
    </row>
    <row r="3907">
      <c r="A3907" s="84" t="inlineStr">
        <is>
          <t xml:space="preserve">      "Apparel",</t>
        </is>
      </c>
    </row>
    <row r="3908">
      <c r="A3908" s="84" t="inlineStr">
        <is>
          <t xml:space="preserve">      "Resale Platforms"</t>
        </is>
      </c>
    </row>
    <row r="3909">
      <c r="A3909" s="84" t="inlineStr">
        <is>
          <t xml:space="preserve">    ],</t>
        </is>
      </c>
    </row>
    <row r="3910">
      <c r="A3910" s="84" t="inlineStr">
        <is>
          <t xml:space="preserve">    "recentVideos": [</t>
        </is>
      </c>
    </row>
    <row r="3911">
      <c r="A3911" s="84" t="inlineStr">
        <is>
          <t xml:space="preserve">      {</t>
        </is>
      </c>
    </row>
    <row r="3912">
      <c r="A3912" s="84" t="inlineStr">
        <is>
          <t xml:space="preserve">        "title": "What I Stopped Buying This Year",</t>
        </is>
      </c>
    </row>
    <row r="3913">
      <c r="A3913" s="84" t="inlineStr">
        <is>
          <t xml:space="preserve">        "daysAgo": 6,</t>
        </is>
      </c>
    </row>
    <row r="3914">
      <c r="A3914" s="84" t="inlineStr">
        <is>
          <t xml:space="preserve">        "views": 5000,</t>
        </is>
      </c>
    </row>
    <row r="3915">
      <c r="A3915" s="84" t="inlineStr">
        <is>
          <t xml:space="preserve">        "likes": 490,</t>
        </is>
      </c>
    </row>
    <row r="3916">
      <c r="A3916" s="84" t="inlineStr">
        <is>
          <t xml:space="preserve">        "comments": 55,</t>
        </is>
      </c>
    </row>
    <row r="3917">
      <c r="A3917" s="84" t="inlineStr">
        <is>
          <t xml:space="preserve">        "hadSponsor": false,</t>
        </is>
      </c>
    </row>
    <row r="3918">
      <c r="A3918" s="84" t="inlineStr">
        <is>
          <t xml:space="preserve">        "topicTags": [</t>
        </is>
      </c>
    </row>
    <row r="3919">
      <c r="A3919" s="84" t="inlineStr">
        <is>
          <t xml:space="preserve">          "minimalist",</t>
        </is>
      </c>
    </row>
    <row r="3920">
      <c r="A3920" s="84" t="inlineStr">
        <is>
          <t xml:space="preserve">          "wardrobe",</t>
        </is>
      </c>
    </row>
    <row r="3921">
      <c r="A3921" s="84" t="inlineStr">
        <is>
          <t xml:space="preserve">          "honest"</t>
        </is>
      </c>
    </row>
    <row r="3922">
      <c r="A3922" s="84" t="inlineStr">
        <is>
          <t xml:space="preserve">        ]</t>
        </is>
      </c>
    </row>
    <row r="3923">
      <c r="A3923" s="84" t="inlineStr">
        <is>
          <t xml:space="preserve">      },</t>
        </is>
      </c>
    </row>
    <row r="3924">
      <c r="A3924" s="84" t="inlineStr">
        <is>
          <t xml:space="preserve">      {</t>
        </is>
      </c>
    </row>
    <row r="3925">
      <c r="A3925" s="84" t="inlineStr">
        <is>
          <t xml:space="preserve">        "title": "Styling One Dress Five Ways",</t>
        </is>
      </c>
    </row>
    <row r="3926">
      <c r="A3926" s="84" t="inlineStr">
        <is>
          <t xml:space="preserve">        "daysAgo": 17,</t>
        </is>
      </c>
    </row>
    <row r="3927">
      <c r="A3927" s="84" t="inlineStr">
        <is>
          <t xml:space="preserve">        "views": 4000,</t>
        </is>
      </c>
    </row>
    <row r="3928">
      <c r="A3928" s="84" t="inlineStr">
        <is>
          <t xml:space="preserve">        "likes": 400,</t>
        </is>
      </c>
    </row>
    <row r="3929">
      <c r="A3929" s="84" t="inlineStr">
        <is>
          <t xml:space="preserve">        "comments": 45,</t>
        </is>
      </c>
    </row>
    <row r="3930">
      <c r="A3930" s="84" t="inlineStr">
        <is>
          <t xml:space="preserve">        "hadSponsor": false,</t>
        </is>
      </c>
    </row>
    <row r="3931">
      <c r="A3931" s="84" t="inlineStr">
        <is>
          <t xml:space="preserve">        "topicTags": [</t>
        </is>
      </c>
    </row>
    <row r="3932">
      <c r="A3932" s="84" t="inlineStr">
        <is>
          <t xml:space="preserve">          "styling",</t>
        </is>
      </c>
    </row>
    <row r="3933">
      <c r="A3933" s="84" t="inlineStr">
        <is>
          <t xml:space="preserve">          "versatile",</t>
        </is>
      </c>
    </row>
    <row r="3934">
      <c r="A3934" s="84" t="inlineStr">
        <is>
          <t xml:space="preserve">          "wardrobe"</t>
        </is>
      </c>
    </row>
    <row r="3935">
      <c r="A3935" s="84" t="inlineStr">
        <is>
          <t xml:space="preserve">        ]</t>
        </is>
      </c>
    </row>
    <row r="3936">
      <c r="A3936" s="84" t="inlineStr">
        <is>
          <t xml:space="preserve">      },</t>
        </is>
      </c>
    </row>
    <row r="3937">
      <c r="A3937" s="84" t="inlineStr">
        <is>
          <t xml:space="preserve">      {</t>
        </is>
      </c>
    </row>
    <row r="3938">
      <c r="A3938" s="84" t="inlineStr">
        <is>
          <t xml:space="preserve">        "title": "The Secondhand Finds Worth It",</t>
        </is>
      </c>
    </row>
    <row r="3939">
      <c r="A3939" s="84" t="inlineStr">
        <is>
          <t xml:space="preserve">        "daysAgo": 21,</t>
        </is>
      </c>
    </row>
    <row r="3940">
      <c r="A3940" s="84" t="inlineStr">
        <is>
          <t xml:space="preserve">        "views": 4000,</t>
        </is>
      </c>
    </row>
    <row r="3941">
      <c r="A3941" s="84" t="inlineStr">
        <is>
          <t xml:space="preserve">        "likes": 420,</t>
        </is>
      </c>
    </row>
    <row r="3942">
      <c r="A3942" s="84" t="inlineStr">
        <is>
          <t xml:space="preserve">        "comments": 45,</t>
        </is>
      </c>
    </row>
    <row r="3943">
      <c r="A3943" s="84" t="inlineStr">
        <is>
          <t xml:space="preserve">        "hadSponsor": false,</t>
        </is>
      </c>
    </row>
    <row r="3944">
      <c r="A3944" s="84" t="inlineStr">
        <is>
          <t xml:space="preserve">        "topicTags": [</t>
        </is>
      </c>
    </row>
    <row r="3945">
      <c r="A3945" s="84" t="inlineStr">
        <is>
          <t xml:space="preserve">          "thrift",</t>
        </is>
      </c>
    </row>
    <row r="3946">
      <c r="A3946" s="84" t="inlineStr">
        <is>
          <t xml:space="preserve">          "resale",</t>
        </is>
      </c>
    </row>
    <row r="3947">
      <c r="A3947" s="84" t="inlineStr">
        <is>
          <t xml:space="preserve">          "haul"</t>
        </is>
      </c>
    </row>
    <row r="3948">
      <c r="A3948" s="84" t="inlineStr">
        <is>
          <t xml:space="preserve">        ]</t>
        </is>
      </c>
    </row>
    <row r="3949">
      <c r="A3949" s="84" t="inlineStr">
        <is>
          <t xml:space="preserve">      }</t>
        </is>
      </c>
    </row>
    <row r="3950">
      <c r="A3950" s="84" t="inlineStr">
        <is>
          <t xml:space="preserve">    ]</t>
        </is>
      </c>
    </row>
    <row r="3951">
      <c r="A3951" s="84" t="inlineStr">
        <is>
          <t xml:space="preserve">  }</t>
        </is>
      </c>
    </row>
    <row r="3952">
      <c r="A3952" s="84" t="inlineStr">
        <is>
          <t>];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2026-09-20T02:27:54Z</dcterms:created>
  <dcterms:modified xmlns:dcterms="http://purl.org/dc/terms/" xmlns:xsi="http://www.w3.org/2001/XMLSchema-instance" xsi:type="dcterms:W3CDTF">2026-09-20T21:22:53Z</dcterms:modified>
  <cp:revision>0</cp:revision>
</cp:coreProperties>
</file>